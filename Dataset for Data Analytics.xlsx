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ecodelab Intern\"/>
    </mc:Choice>
  </mc:AlternateContent>
  <xr:revisionPtr revIDLastSave="0" documentId="13_ncr:1_{8EA97E7D-D299-4E25-99DD-33E109EDF8A4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E-commerce order data" sheetId="1" r:id="rId1"/>
    <sheet name="Data Quality Log" sheetId="2" r:id="rId2"/>
    <sheet name="Cleaned Data" sheetId="4" r:id="rId3"/>
    <sheet name="EDA" sheetId="7" r:id="rId4"/>
  </sheets>
  <definedNames>
    <definedName name="_xlnm._FilterDatabase" localSheetId="2" hidden="1">'Cleaned Data'!$C$2:$C$1201</definedName>
    <definedName name="ExternalData_1" localSheetId="2" hidden="1">'Cleaned Data'!$A$1:$N$1201</definedName>
    <definedName name="_xlnm.Extract" localSheetId="2">'Cleaned Data'!$Q$2:$Q$18</definedName>
  </definedNames>
  <calcPr calcId="181029"/>
  <pivotCaches>
    <pivotCache cacheId="0" r:id="rId5"/>
  </pivotCaches>
</workbook>
</file>

<file path=xl/calcChain.xml><?xml version="1.0" encoding="utf-8"?>
<calcChain xmlns="http://schemas.openxmlformats.org/spreadsheetml/2006/main">
  <c r="S5" i="4" l="1"/>
  <c r="R1191" i="4"/>
  <c r="R1192" i="4"/>
  <c r="R1193" i="4"/>
  <c r="R1194" i="4"/>
  <c r="R1195" i="4"/>
  <c r="R1196" i="4"/>
  <c r="R1197" i="4"/>
  <c r="R1198" i="4"/>
  <c r="R1199" i="4"/>
  <c r="R1200" i="4"/>
  <c r="R1201" i="4"/>
  <c r="T2" i="4"/>
  <c r="S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2" i="4"/>
  <c r="R3" i="4" l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450E89-D2C1-426C-B190-D5F04DC5058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<sst xmlns="http://schemas.openxmlformats.org/spreadsheetml/2006/main" count="22618" uniqueCount="4346">
  <si>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</si>
  <si>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</si>
  <si>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</si>
  <si>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</si>
  <si>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</si>
  <si>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</si>
  <si>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</si>
  <si>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</si>
  <si>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</si>
  <si>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</si>
  <si>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</si>
  <si>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</si>
  <si>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</si>
  <si>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</si>
  <si>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</si>
  <si>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</si>
  <si>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</si>
  <si>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</si>
  <si>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</si>
  <si>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</si>
  <si>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</si>
  <si>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</si>
  <si>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</si>
  <si>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</si>
  <si>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</si>
  <si>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</si>
  <si>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</si>
  <si>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</si>
  <si>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</si>
  <si>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</si>
  <si>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</si>
  <si>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</si>
  <si>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</si>
  <si>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</si>
  <si>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</si>
  <si>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</si>
  <si>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</si>
  <si>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</si>
  <si>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</si>
  <si>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</si>
  <si>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</si>
  <si>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</si>
  <si>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</si>
  <si>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</si>
  <si>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</si>
  <si>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</si>
  <si>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</si>
  <si>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</si>
  <si>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</si>
  <si>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</si>
  <si>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</si>
  <si>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</si>
  <si>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</si>
  <si>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</si>
  <si>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</si>
  <si>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</si>
  <si>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</si>
  <si>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</si>
  <si>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</si>
  <si>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</si>
  <si>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</si>
  <si>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</si>
  <si>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</si>
  <si>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</si>
  <si>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</si>
  <si>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</si>
  <si>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</si>
  <si>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</si>
  <si>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</si>
  <si>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</si>
  <si>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</si>
  <si>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</si>
  <si>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</si>
  <si>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</si>
  <si>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</si>
  <si>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</si>
  <si>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</si>
  <si>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</si>
  <si>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</si>
  <si>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</si>
  <si>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</si>
  <si>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</si>
  <si>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</si>
  <si>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</si>
  <si>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</si>
  <si>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</si>
  <si>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</si>
  <si>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</si>
  <si>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</si>
  <si>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</si>
  <si>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</si>
  <si>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</si>
  <si>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</si>
  <si>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</si>
  <si>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</si>
  <si>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</si>
  <si>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</si>
  <si>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</si>
  <si>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</si>
  <si>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</si>
  <si>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</si>
  <si>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</si>
  <si>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</si>
  <si>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</si>
  <si>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</si>
  <si>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</si>
  <si>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</si>
  <si>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</si>
  <si>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</si>
  <si>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</si>
  <si>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</si>
  <si>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</si>
  <si>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</si>
  <si>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</si>
  <si>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</si>
  <si>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</si>
  <si>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</si>
  <si>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</si>
  <si>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</si>
  <si>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</si>
  <si>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</si>
  <si>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</si>
  <si>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</si>
  <si>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</si>
  <si>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</si>
  <si>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</si>
  <si>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</si>
  <si>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</si>
  <si>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</si>
  <si>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</si>
  <si>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</si>
  <si>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</si>
  <si>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</si>
  <si>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</si>
  <si>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</si>
  <si>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</si>
  <si>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</si>
  <si>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</si>
  <si>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</si>
  <si>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</si>
  <si>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</si>
  <si>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</si>
  <si>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</si>
  <si>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</si>
  <si>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</si>
  <si>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</si>
  <si>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</si>
  <si>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</si>
  <si>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</si>
  <si>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</si>
  <si>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</si>
  <si>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</si>
  <si>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</si>
  <si>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</si>
  <si>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</si>
  <si>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</si>
  <si>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</si>
  <si>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</si>
  <si>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</si>
  <si>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</si>
  <si>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</si>
  <si>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</si>
  <si>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</si>
  <si>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</si>
  <si>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</si>
  <si>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</si>
  <si>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</si>
  <si>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</si>
  <si>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</si>
  <si>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</si>
  <si>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</si>
  <si>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</si>
  <si>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</si>
  <si>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</si>
  <si>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</si>
  <si>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</si>
  <si>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</si>
  <si>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</si>
  <si>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</si>
  <si>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</si>
  <si>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</si>
  <si>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</si>
  <si>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</si>
  <si>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</si>
  <si>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</si>
  <si>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</si>
  <si>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</si>
  <si>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</si>
  <si>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</si>
  <si>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</si>
  <si>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</si>
  <si>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</si>
  <si>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</si>
  <si>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</si>
  <si>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</si>
  <si>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</si>
  <si>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</si>
  <si>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</si>
  <si>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</si>
  <si>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</si>
  <si>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</si>
  <si>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</si>
  <si>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</si>
  <si>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</si>
  <si>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</si>
  <si>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</si>
  <si>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</si>
  <si>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</si>
  <si>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</si>
  <si>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</si>
  <si>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</si>
  <si>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</si>
  <si>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</si>
  <si>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</si>
  <si>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</si>
  <si>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</si>
  <si>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</si>
  <si>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</si>
  <si>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</si>
  <si>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</si>
  <si>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</si>
  <si>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</si>
  <si>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</si>
  <si>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</si>
  <si>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</si>
  <si>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</si>
  <si>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</si>
  <si>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</si>
  <si>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</si>
  <si>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</si>
  <si>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</si>
  <si>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</si>
  <si>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</si>
  <si>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</si>
  <si>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</si>
  <si>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</si>
  <si>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</si>
  <si>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</si>
  <si>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</si>
  <si>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</si>
  <si>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</si>
  <si>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</si>
  <si>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</si>
  <si>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</si>
  <si>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</si>
  <si>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</si>
  <si>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</si>
  <si>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</si>
  <si>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</si>
  <si>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</si>
  <si>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</si>
  <si>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</si>
  <si>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</si>
  <si>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</si>
  <si>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</si>
  <si>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</si>
  <si>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</si>
  <si>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</si>
  <si>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</si>
  <si>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</si>
  <si>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</si>
  <si>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</si>
  <si>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</si>
  <si>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</si>
  <si>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</si>
  <si>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</si>
  <si>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</si>
  <si>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</si>
  <si>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</si>
  <si>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</si>
  <si>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</si>
  <si>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</si>
  <si>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</si>
  <si>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</si>
  <si>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</si>
  <si>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</si>
  <si>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</si>
  <si>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</si>
  <si>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</si>
  <si>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</si>
  <si>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</si>
  <si>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</si>
  <si>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</si>
  <si>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</si>
  <si>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</si>
  <si>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</si>
  <si>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</si>
  <si>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</si>
  <si>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</si>
  <si>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</si>
  <si>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</si>
  <si>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</si>
  <si>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</si>
  <si>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</si>
  <si>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</si>
  <si>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</si>
  <si>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</si>
  <si>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</si>
  <si>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</si>
  <si>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</si>
  <si>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</si>
  <si>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</si>
  <si>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</si>
  <si>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</si>
  <si>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</si>
  <si>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</si>
  <si>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</si>
  <si>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</si>
  <si>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</si>
  <si>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</si>
  <si>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</si>
  <si>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</si>
  <si>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</si>
  <si>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</si>
  <si>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</si>
  <si>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</si>
  <si>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</si>
  <si>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</si>
  <si>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</si>
  <si>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</si>
  <si>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</si>
  <si>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</si>
  <si>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</si>
  <si>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</si>
  <si>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</si>
  <si>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</si>
  <si>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</si>
  <si>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</si>
  <si>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</si>
  <si>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</si>
  <si>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</si>
  <si>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</si>
  <si>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</si>
  <si>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</si>
  <si>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</si>
  <si>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</si>
  <si>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</si>
  <si>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</si>
  <si>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</si>
  <si>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</si>
  <si>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</si>
  <si>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</si>
  <si>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</si>
  <si>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</si>
  <si>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</si>
  <si>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</si>
  <si>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</si>
  <si>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</si>
  <si>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</si>
  <si>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</si>
  <si>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</si>
  <si>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</si>
  <si>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</si>
  <si>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</si>
  <si>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</si>
  <si>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</si>
  <si>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</si>
  <si>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</si>
  <si>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</si>
  <si>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</si>
  <si>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</si>
  <si>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</si>
  <si>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</si>
  <si>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</si>
  <si>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</si>
  <si>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</si>
  <si>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</si>
  <si>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</si>
  <si>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</si>
  <si>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</si>
  <si>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</si>
  <si>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</si>
  <si>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</si>
  <si>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</si>
  <si>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</si>
  <si>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</si>
  <si>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</si>
  <si>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</si>
  <si>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</si>
  <si>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</si>
  <si>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</si>
  <si>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</si>
  <si>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</si>
  <si>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</si>
  <si>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</si>
  <si>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</si>
  <si>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</si>
  <si>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</si>
  <si>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</si>
  <si>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</si>
  <si>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</si>
  <si>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</si>
  <si>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</si>
  <si>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</si>
  <si>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</si>
  <si>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</si>
  <si>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</si>
  <si>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</si>
  <si>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</si>
  <si>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</si>
  <si>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</si>
  <si>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</si>
  <si>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</si>
  <si>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</si>
  <si>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</si>
  <si>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</si>
  <si>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</si>
  <si>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</si>
  <si>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</si>
  <si>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</si>
  <si>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</si>
  <si>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</si>
  <si>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</si>
  <si>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</si>
  <si>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</si>
  <si>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</si>
  <si>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</si>
  <si>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</si>
  <si>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</si>
  <si>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</si>
  <si>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</si>
  <si>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</si>
  <si>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</si>
  <si>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</si>
  <si>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</si>
  <si>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</si>
  <si>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</si>
  <si>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</si>
  <si>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</si>
  <si>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</si>
  <si>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</si>
  <si>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</si>
  <si>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</si>
  <si>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</si>
  <si>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</si>
  <si>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</si>
  <si>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</si>
  <si>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</si>
  <si>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</si>
  <si>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</si>
  <si>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</si>
  <si>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</si>
  <si>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</si>
  <si>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</si>
  <si>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</si>
  <si>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</si>
  <si>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</si>
  <si>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</si>
  <si>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</si>
  <si>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</si>
  <si>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</si>
  <si>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</si>
  <si>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</si>
  <si>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</si>
  <si>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</si>
  <si>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</si>
  <si>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</si>
  <si>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</si>
  <si>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</si>
  <si>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</si>
  <si>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</si>
  <si>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</si>
  <si>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</si>
  <si>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</si>
  <si>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</si>
  <si>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</si>
  <si>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</si>
  <si>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</si>
  <si>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</si>
  <si>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</si>
  <si>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</si>
  <si>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</si>
  <si>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</si>
  <si>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</si>
  <si>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</si>
  <si>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</si>
  <si>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</si>
  <si>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</si>
  <si>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</si>
  <si>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</si>
  <si>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</si>
  <si>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</si>
  <si>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</si>
  <si>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</si>
  <si>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</si>
  <si>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</si>
  <si>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</si>
  <si>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</si>
  <si>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</si>
  <si>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</si>
  <si>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</si>
  <si>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</si>
  <si>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</si>
  <si>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</si>
  <si>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</si>
  <si>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</si>
  <si>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</si>
  <si>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</si>
  <si>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</si>
  <si>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</si>
  <si>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</si>
  <si>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</si>
  <si>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</si>
  <si>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</si>
  <si>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</si>
  <si>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</si>
  <si>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</si>
  <si>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</si>
  <si>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</si>
  <si>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</si>
  <si>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</si>
  <si>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</si>
  <si>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</si>
  <si>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</si>
  <si>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</si>
  <si>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</si>
  <si>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</si>
  <si>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</si>
  <si>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</si>
  <si>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</si>
  <si>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</si>
  <si>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</si>
  <si>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</si>
  <si>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</si>
  <si>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</si>
  <si>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</si>
  <si>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</si>
  <si>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</si>
  <si>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</si>
  <si>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</si>
  <si>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</si>
  <si>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</si>
  <si>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</si>
  <si>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</si>
  <si>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</si>
  <si>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</si>
  <si>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</si>
  <si>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</si>
  <si>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</si>
  <si>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</si>
  <si>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</si>
  <si>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</si>
  <si>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</si>
  <si>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</si>
  <si>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</si>
  <si>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</si>
  <si>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</si>
  <si>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</si>
  <si>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</si>
  <si>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</si>
  <si>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</si>
  <si>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</si>
  <si>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</si>
  <si>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</si>
  <si>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</si>
  <si>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</si>
  <si>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</si>
  <si>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</si>
  <si>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</si>
  <si>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</si>
  <si>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</si>
  <si>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</si>
  <si>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</si>
  <si>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</si>
  <si>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</si>
  <si>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</si>
  <si>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</si>
  <si>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</si>
  <si>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</si>
  <si>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</si>
  <si>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</si>
  <si>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</si>
  <si>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</si>
  <si>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</si>
  <si>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</si>
  <si>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</si>
  <si>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</si>
  <si>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</si>
  <si>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</si>
  <si>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</si>
  <si>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</si>
  <si>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</si>
  <si>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</si>
  <si>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</si>
  <si>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</si>
  <si>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</si>
  <si>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</si>
  <si>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</si>
  <si>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</si>
  <si>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</si>
  <si>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</si>
  <si>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</si>
  <si>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</si>
  <si>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</si>
  <si>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</si>
  <si>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</si>
  <si>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</si>
  <si>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</si>
  <si>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</si>
  <si>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</si>
  <si>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</si>
  <si>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</si>
  <si>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</si>
  <si>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</si>
  <si>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</si>
  <si>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</si>
  <si>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</si>
  <si>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</si>
  <si>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</si>
  <si>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</si>
  <si>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</si>
  <si>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</si>
  <si>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</si>
  <si>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</si>
  <si>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</si>
  <si>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</si>
  <si>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</si>
  <si>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</si>
  <si>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</si>
  <si>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</si>
  <si>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</si>
  <si>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</si>
  <si>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</si>
  <si>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</si>
  <si>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</si>
  <si>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</si>
  <si>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</si>
  <si>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</si>
  <si>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</si>
  <si>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</si>
  <si>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</si>
  <si>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</si>
  <si>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</si>
  <si>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</si>
  <si>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</si>
  <si>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</si>
  <si>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</si>
  <si>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</si>
  <si>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</si>
  <si>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</si>
  <si>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</si>
  <si>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</si>
  <si>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</si>
  <si>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</si>
  <si>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</si>
  <si>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</si>
  <si>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</si>
  <si>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</si>
  <si>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</si>
  <si>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</si>
  <si>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</si>
  <si>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</si>
  <si>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</si>
  <si>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</si>
  <si>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</si>
  <si>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</si>
  <si>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</si>
  <si>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</si>
  <si>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</si>
  <si>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</si>
  <si>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</si>
  <si>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</si>
  <si>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</si>
  <si>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</si>
  <si>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</si>
  <si>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</si>
  <si>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</si>
  <si>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</si>
  <si>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</si>
  <si>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</si>
  <si>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</si>
  <si>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</si>
  <si>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</si>
  <si>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</si>
  <si>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</si>
  <si>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</si>
  <si>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</si>
  <si>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</si>
  <si>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</si>
  <si>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</si>
  <si>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</si>
  <si>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</si>
  <si>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</si>
  <si>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</si>
  <si>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</si>
  <si>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</si>
  <si>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</si>
  <si>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</si>
  <si>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</si>
  <si>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</si>
  <si>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</si>
  <si>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</si>
  <si>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</si>
  <si>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</si>
  <si>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</si>
  <si>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</si>
  <si>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</si>
  <si>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</si>
  <si>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</si>
  <si>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</si>
  <si>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</si>
  <si>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</si>
  <si>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</si>
  <si>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</si>
  <si>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</si>
  <si>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</si>
  <si>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</si>
  <si>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</si>
  <si>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</si>
  <si>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</si>
  <si>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</si>
  <si>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</si>
  <si>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</si>
  <si>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</si>
  <si>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</si>
  <si>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</si>
  <si>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</si>
  <si>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</si>
  <si>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</si>
  <si>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</si>
  <si>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</si>
  <si>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</si>
  <si>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</si>
  <si>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</si>
  <si>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</si>
  <si>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</si>
  <si>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</si>
  <si>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</si>
  <si>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</si>
  <si>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</si>
  <si>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</si>
  <si>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</si>
  <si>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</si>
  <si>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</si>
  <si>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</si>
  <si>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</si>
  <si>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</si>
  <si>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</si>
  <si>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</si>
  <si>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</si>
  <si>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</si>
  <si>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</si>
  <si>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</si>
  <si>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</si>
  <si>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</si>
  <si>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</si>
  <si>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</si>
  <si>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</si>
  <si>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</si>
  <si>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</si>
  <si>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</si>
  <si>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</si>
  <si>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</si>
  <si>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</si>
  <si>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</si>
  <si>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</si>
  <si>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</si>
  <si>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</si>
  <si>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</si>
  <si>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</si>
  <si>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</si>
  <si>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</si>
  <si>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</si>
  <si>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</si>
  <si>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</si>
  <si>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</si>
  <si>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</si>
  <si>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</si>
  <si>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</si>
  <si>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</si>
  <si>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</si>
  <si>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</si>
  <si>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</si>
  <si>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</si>
  <si>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</si>
  <si>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</si>
  <si>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</si>
  <si>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</si>
  <si>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</si>
  <si>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</si>
  <si>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</si>
  <si>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</si>
  <si>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</si>
  <si>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</si>
  <si>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</si>
  <si>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</si>
  <si>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</si>
  <si>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</si>
  <si>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</si>
  <si>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</si>
  <si>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</si>
  <si>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</si>
  <si>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</si>
  <si>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</si>
  <si>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</si>
  <si>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</si>
  <si>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</si>
  <si>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</si>
  <si>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</si>
  <si>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</si>
  <si>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</si>
  <si>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</si>
  <si>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</si>
  <si>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</si>
  <si>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</si>
  <si>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</si>
  <si>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</si>
  <si>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</si>
  <si>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</si>
  <si>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</si>
  <si>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</si>
  <si>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</si>
  <si>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</si>
  <si>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</si>
  <si>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</si>
  <si>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</si>
  <si>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</si>
  <si>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</si>
  <si>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</si>
  <si>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</si>
  <si>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</si>
  <si>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</si>
  <si>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</si>
  <si>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</si>
  <si>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</si>
  <si>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</si>
  <si>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</si>
  <si>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</si>
  <si>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</si>
  <si>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</si>
  <si>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</si>
  <si>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</si>
  <si>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</si>
  <si>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</si>
  <si>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</si>
  <si>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</si>
  <si>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</si>
  <si>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</si>
  <si>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</si>
  <si>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</si>
  <si>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</si>
  <si>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</si>
  <si>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</si>
  <si>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</si>
  <si>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</si>
  <si>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</si>
  <si>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</si>
  <si>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</si>
  <si>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</si>
  <si>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</si>
  <si>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</si>
  <si>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</si>
  <si>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</si>
  <si>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</si>
  <si>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</si>
  <si>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</si>
  <si>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</si>
  <si>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</si>
  <si>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</si>
  <si>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</si>
  <si>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</si>
  <si>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</si>
  <si>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</si>
  <si>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</si>
  <si>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</si>
  <si>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</si>
  <si>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</si>
  <si>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</si>
  <si>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</si>
  <si>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</si>
  <si>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</si>
  <si>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</si>
  <si>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</si>
  <si>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</si>
  <si>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</si>
  <si>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</si>
  <si>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</si>
  <si>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</si>
  <si>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</si>
  <si>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</si>
  <si>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</si>
  <si>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</si>
  <si>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</si>
  <si>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</si>
  <si>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</si>
  <si>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</si>
  <si>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</si>
  <si>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</si>
  <si>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</si>
  <si>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</si>
  <si>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</si>
  <si>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</si>
  <si>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</si>
  <si>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</si>
  <si>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</si>
  <si>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</si>
  <si>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</si>
  <si>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</si>
  <si>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</si>
  <si>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</si>
  <si>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</si>
  <si>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</si>
  <si>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</si>
  <si>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</si>
  <si>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</si>
  <si>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</si>
  <si>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</si>
  <si>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</si>
  <si>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</si>
  <si>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</si>
  <si>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</si>
  <si>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</si>
  <si>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</si>
  <si>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</si>
  <si>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</si>
  <si>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</si>
  <si>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</si>
  <si>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</si>
  <si>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</si>
  <si>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</si>
  <si>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</si>
  <si>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</si>
  <si>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</si>
  <si>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</si>
  <si>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</si>
  <si>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</si>
  <si>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</si>
  <si>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</si>
  <si>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</si>
  <si>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</si>
  <si>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</si>
  <si>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</si>
  <si>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</si>
  <si>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</si>
  <si>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</si>
  <si>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</si>
  <si>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</si>
  <si>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</si>
  <si>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</si>
  <si>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</si>
  <si>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</si>
  <si>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</si>
  <si>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</si>
  <si>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</si>
  <si>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</si>
  <si>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</si>
  <si>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</si>
  <si>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</si>
  <si>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</si>
  <si>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</si>
  <si>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</si>
  <si>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</si>
  <si>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</si>
  <si>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</si>
  <si>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</si>
  <si>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</si>
  <si>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</si>
  <si>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</si>
  <si>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</si>
  <si>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</si>
  <si>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</si>
  <si>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</si>
  <si>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</si>
  <si>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</si>
  <si>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</si>
  <si>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</si>
  <si>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</si>
  <si>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</si>
  <si>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</si>
  <si>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</si>
  <si>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</si>
  <si>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</si>
  <si>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</si>
  <si>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</si>
  <si>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</si>
  <si>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</si>
  <si>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</si>
  <si>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</si>
  <si>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</si>
  <si>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</si>
  <si>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</si>
  <si>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</si>
  <si>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</si>
  <si>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</si>
  <si>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</si>
  <si>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</si>
  <si>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</si>
  <si>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</si>
  <si>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</si>
  <si>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</si>
  <si>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</si>
  <si>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</si>
  <si>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</si>
  <si>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</si>
  <si>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</si>
  <si>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</si>
  <si>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</si>
  <si>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</si>
  <si>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</si>
  <si>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</si>
  <si>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</si>
  <si>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</si>
  <si>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</si>
  <si>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</si>
  <si>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</si>
  <si>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</si>
  <si>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</si>
  <si>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</si>
  <si>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</si>
  <si>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</si>
  <si>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</si>
  <si>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</si>
  <si>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</si>
  <si>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</si>
  <si>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</si>
  <si>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</si>
  <si>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</si>
  <si>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</si>
  <si>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</si>
  <si>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</si>
  <si>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</si>
  <si>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</si>
  <si>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</si>
  <si>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</si>
  <si>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</si>
  <si>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</si>
  <si>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</si>
  <si>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</si>
  <si>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</si>
  <si>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</si>
  <si>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</si>
  <si>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</si>
  <si>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</si>
  <si>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</si>
  <si>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</si>
  <si>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</si>
  <si>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</si>
  <si>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</si>
  <si>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</si>
  <si>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</si>
  <si>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</si>
  <si>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</si>
  <si>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</si>
  <si>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</si>
  <si>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</si>
  <si>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</si>
  <si>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</si>
  <si>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</si>
  <si>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</si>
  <si>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</si>
  <si>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</si>
  <si>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</si>
  <si>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</si>
  <si>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</si>
  <si>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</si>
  <si>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</si>
  <si>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</si>
  <si>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</si>
  <si>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</si>
  <si>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</si>
  <si>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</si>
  <si>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</si>
  <si>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</si>
  <si>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</si>
  <si>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</si>
  <si>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</si>
  <si>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</si>
  <si>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</si>
  <si>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</si>
  <si>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</si>
  <si>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</si>
  <si>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</si>
  <si>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</si>
  <si>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</si>
  <si>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</si>
  <si>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</si>
  <si>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</si>
  <si>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</si>
  <si>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</si>
  <si>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</si>
  <si>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</si>
  <si>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</si>
  <si>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</si>
  <si>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</si>
  <si>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</si>
  <si>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</si>
  <si>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</si>
  <si>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</si>
  <si>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</si>
  <si>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</si>
  <si>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</si>
  <si>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</si>
  <si>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</si>
  <si>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</si>
  <si>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</si>
  <si>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</si>
  <si>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</si>
  <si>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</si>
  <si>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</si>
  <si>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</si>
  <si>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</si>
  <si>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</si>
  <si>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</si>
  <si>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</si>
  <si>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</si>
  <si>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</si>
  <si>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</si>
  <si>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</si>
  <si>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</si>
  <si>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</si>
  <si>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</si>
  <si>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</si>
  <si>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</si>
  <si>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</si>
  <si>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</si>
  <si>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</si>
  <si>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</si>
  <si>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</si>
  <si>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</si>
  <si>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</si>
  <si>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</si>
  <si>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</si>
  <si>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</si>
  <si>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</si>
  <si>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</si>
  <si>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</si>
  <si>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</si>
  <si>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</si>
  <si>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</si>
  <si>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</si>
  <si>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</si>
  <si>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</si>
  <si>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</si>
  <si>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</si>
  <si>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</si>
  <si>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</si>
  <si>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</si>
  <si>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</si>
  <si>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</si>
  <si>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</si>
  <si>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</si>
  <si>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</si>
  <si>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</si>
  <si>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</si>
  <si>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</si>
  <si>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</si>
  <si>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</si>
  <si>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</si>
  <si>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</si>
  <si>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</si>
  <si>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</si>
  <si>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</si>
  <si>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</si>
  <si>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</si>
  <si>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</si>
  <si>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</si>
  <si>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</si>
  <si>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</si>
  <si>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</si>
  <si>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</si>
  <si>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</si>
  <si>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</si>
  <si>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</si>
  <si>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</si>
  <si>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</si>
  <si>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</si>
  <si>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</si>
  <si>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</si>
  <si>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</si>
  <si>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</si>
  <si>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</si>
  <si>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</si>
  <si>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</si>
  <si>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</si>
  <si>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</si>
  <si>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</si>
  <si>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</si>
  <si>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</si>
  <si>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</si>
  <si>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</si>
  <si>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</si>
  <si>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</si>
  <si>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</si>
  <si>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</si>
  <si>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</si>
  <si>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</si>
  <si>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</si>
  <si>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</si>
  <si>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</si>
  <si>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</si>
  <si>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</si>
  <si>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</si>
  <si>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</si>
  <si>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</si>
  <si>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</si>
  <si>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</si>
  <si>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</si>
  <si>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</si>
  <si>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</si>
  <si>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</si>
  <si>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</si>
  <si>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</si>
  <si>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</si>
  <si>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</si>
  <si>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</si>
  <si>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</si>
  <si>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</si>
  <si>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</si>
  <si>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</si>
  <si>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</si>
  <si>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</si>
  <si>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</si>
  <si>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</si>
  <si>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</si>
  <si>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</si>
  <si>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</si>
  <si>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</si>
  <si>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</si>
  <si>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</si>
  <si>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</si>
  <si>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</si>
  <si>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</si>
  <si>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</si>
  <si>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</si>
  <si>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</si>
  <si>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</si>
  <si>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</si>
  <si>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</si>
  <si>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</si>
  <si>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</si>
  <si>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</si>
  <si>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</si>
  <si>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</si>
  <si>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</si>
  <si>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</si>
  <si>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</si>
  <si>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</si>
  <si>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</si>
  <si>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</si>
  <si>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</si>
  <si>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</si>
  <si>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</si>
  <si>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</si>
  <si>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</si>
  <si>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</si>
  <si>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</si>
  <si>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</si>
  <si>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</si>
  <si>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</si>
  <si>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</si>
  <si>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</si>
  <si>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</si>
  <si>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</si>
  <si>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</si>
  <si>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</si>
  <si>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</si>
  <si>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</si>
  <si>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</si>
  <si>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</si>
  <si>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</si>
  <si>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</si>
  <si>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</si>
  <si>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</si>
  <si>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</si>
  <si>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</si>
  <si>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</si>
  <si>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</si>
  <si>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</si>
  <si>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</si>
  <si>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</si>
  <si>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</si>
  <si>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</si>
  <si>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</si>
  <si>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</si>
  <si>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</si>
  <si>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</si>
  <si>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</si>
  <si>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</si>
  <si>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</si>
  <si>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</si>
  <si>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</si>
  <si>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</si>
  <si>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</si>
  <si>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</si>
  <si>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</si>
  <si>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</si>
  <si>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</si>
  <si>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</si>
  <si>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</si>
  <si>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</si>
  <si>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</si>
  <si>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</si>
  <si>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</si>
  <si>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</si>
  <si>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</si>
  <si>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</si>
  <si>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</si>
  <si>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</si>
  <si>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</si>
  <si>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</si>
  <si>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</si>
  <si>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</si>
  <si>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</si>
  <si>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</si>
  <si>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</si>
  <si>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</si>
  <si>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</si>
  <si>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</si>
  <si>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</si>
  <si>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</si>
  <si>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</si>
  <si>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</si>
  <si>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</si>
  <si>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</si>
  <si>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</si>
  <si>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</si>
  <si>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</si>
  <si>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</si>
  <si>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</si>
  <si>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</si>
  <si>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</si>
  <si>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</si>
  <si>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</si>
  <si>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</si>
  <si>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</si>
  <si>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</si>
  <si>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</si>
  <si>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</si>
  <si>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</si>
  <si>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</si>
  <si>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</si>
  <si>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</si>
  <si>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</si>
  <si>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</si>
  <si>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</si>
  <si>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</si>
  <si>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</si>
  <si>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</si>
  <si>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</si>
  <si>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</si>
  <si>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</si>
  <si>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</si>
  <si>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</si>
  <si>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</si>
  <si>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</si>
  <si>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</si>
  <si>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</si>
  <si>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</si>
  <si>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</si>
  <si>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</si>
  <si>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</si>
  <si>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</si>
  <si>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</si>
  <si>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</si>
  <si>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</si>
  <si>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</si>
  <si>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</si>
  <si>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</si>
  <si>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</si>
  <si>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</si>
  <si>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</si>
  <si>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</si>
  <si>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</si>
  <si>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</si>
  <si>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</si>
  <si>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</si>
  <si>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</si>
  <si>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</si>
  <si>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</si>
  <si>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</si>
  <si>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</si>
  <si>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</si>
  <si>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</si>
  <si>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</si>
  <si>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</si>
  <si>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</si>
  <si>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</si>
  <si>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</si>
  <si>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</si>
  <si>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</si>
  <si>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</si>
  <si>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</si>
  <si>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</si>
  <si>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</si>
  <si>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</si>
  <si>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</si>
  <si>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</si>
  <si>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</si>
  <si>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</si>
  <si>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</si>
  <si>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</si>
  <si>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</si>
  <si>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</si>
  <si>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</si>
  <si>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</si>
  <si>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</si>
  <si>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</si>
  <si>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</si>
  <si>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</si>
  <si>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</si>
  <si>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</si>
  <si>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</si>
  <si>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</si>
  <si>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</si>
  <si>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</si>
  <si>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</si>
  <si>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</si>
  <si>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</si>
  <si>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</si>
  <si>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</si>
  <si>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</si>
  <si>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</si>
  <si>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</si>
  <si>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</si>
  <si>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</si>
  <si>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</si>
  <si>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</si>
  <si>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</si>
  <si>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</si>
  <si>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</si>
  <si>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</si>
  <si>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</si>
  <si>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</si>
  <si>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</si>
  <si>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</si>
  <si>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</si>
  <si>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</si>
  <si>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</si>
  <si>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</si>
  <si>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</si>
  <si>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</si>
  <si>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</si>
  <si>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</si>
  <si>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</si>
  <si>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</si>
  <si>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</si>
  <si>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</si>
  <si>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</si>
  <si>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</si>
  <si>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</si>
  <si>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</si>
  <si>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</si>
  <si>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</si>
  <si>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</si>
  <si>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</si>
  <si>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</si>
  <si>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</si>
  <si>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</si>
  <si>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</si>
  <si>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</si>
  <si>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</si>
  <si>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</si>
  <si>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</si>
  <si>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</si>
  <si>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</si>
  <si>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</si>
  <si>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</si>
  <si>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</si>
  <si>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</si>
  <si>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</si>
  <si>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</si>
  <si>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</si>
  <si>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</si>
  <si>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</si>
  <si>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</si>
  <si>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</si>
  <si>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</si>
  <si>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</si>
  <si>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</si>
  <si>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</si>
  <si>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</si>
  <si>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</si>
  <si>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</si>
  <si>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</si>
  <si>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</si>
  <si>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</si>
  <si>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</si>
  <si>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</si>
  <si>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</si>
  <si>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</si>
  <si>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</si>
  <si>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</si>
  <si>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</si>
  <si>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</si>
  <si>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</si>
  <si>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</si>
  <si>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</si>
  <si>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</si>
  <si>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</si>
  <si>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</si>
  <si>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</si>
  <si>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</si>
  <si>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</si>
  <si>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</si>
  <si>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</si>
  <si>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</si>
  <si>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</si>
  <si>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</si>
  <si>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</si>
  <si>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</si>
  <si>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</si>
  <si>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</si>
  <si>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</si>
  <si>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</si>
  <si>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</si>
  <si>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</si>
  <si>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</si>
  <si>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</si>
  <si>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</si>
  <si>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</si>
  <si>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</si>
  <si>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</si>
  <si>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</si>
  <si>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</si>
  <si>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</si>
  <si>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</si>
  <si>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</si>
  <si>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</si>
  <si>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</si>
  <si>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</si>
  <si>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</si>
  <si>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</si>
  <si>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</si>
  <si>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</si>
  <si>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</si>
  <si>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</si>
  <si>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</si>
  <si>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</si>
  <si>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</si>
  <si>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</si>
  <si>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</si>
  <si>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</si>
  <si>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</si>
  <si>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</si>
  <si>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</si>
  <si>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</si>
  <si>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</si>
  <si>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</si>
  <si>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</si>
  <si>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</si>
  <si>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</si>
  <si>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</si>
  <si>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</si>
  <si>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</si>
  <si>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</si>
  <si>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</si>
  <si>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</si>
  <si>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</si>
  <si>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</si>
  <si>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</si>
  <si>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</si>
  <si>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</si>
  <si>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</si>
  <si>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</si>
  <si>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</si>
  <si>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</si>
  <si>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</si>
  <si>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</si>
  <si>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</si>
  <si>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</si>
  <si>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</si>
  <si>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</si>
  <si>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</si>
  <si>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</si>
  <si>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</si>
  <si>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</si>
  <si>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</si>
  <si>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</si>
  <si>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</si>
  <si>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</si>
  <si>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</si>
  <si>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</si>
  <si>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</si>
  <si>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</si>
  <si>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</si>
  <si>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</si>
  <si>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</si>
  <si>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</si>
  <si>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</si>
  <si>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</si>
  <si>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</si>
  <si>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</si>
  <si>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</si>
  <si>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</si>
  <si>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</si>
  <si>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</si>
  <si>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</si>
  <si>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</si>
  <si>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</si>
  <si>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</si>
  <si>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</si>
  <si>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</si>
  <si>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</si>
  <si>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</si>
  <si>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</si>
  <si>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</si>
  <si>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</si>
  <si>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</si>
  <si>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</si>
  <si>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</si>
  <si>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</si>
  <si>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</si>
  <si>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</si>
  <si>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</si>
  <si>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</si>
  <si>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</si>
  <si>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</si>
  <si>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</si>
  <si>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</si>
  <si>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</si>
  <si>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</si>
  <si>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</si>
  <si>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</si>
  <si>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</si>
  <si>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</si>
  <si>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</si>
  <si>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</si>
  <si>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</si>
  <si>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</si>
  <si>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</si>
  <si>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</si>
  <si>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</si>
  <si>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</si>
  <si>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</si>
  <si>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</si>
  <si>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</si>
  <si>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</si>
  <si>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</si>
  <si>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</si>
  <si>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</si>
  <si>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</si>
  <si>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</si>
  <si>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</si>
  <si>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</si>
  <si>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</si>
  <si>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</si>
  <si>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</si>
  <si>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</si>
  <si>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</si>
  <si>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</si>
  <si>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</si>
  <si>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</si>
  <si>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</si>
  <si>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</si>
  <si>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</si>
  <si>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</si>
  <si>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</si>
  <si>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</si>
  <si>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</si>
  <si>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</si>
  <si>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</si>
  <si>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</si>
  <si>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</si>
  <si>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</si>
  <si>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</si>
  <si>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</si>
  <si>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</si>
  <si>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</si>
  <si>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</si>
  <si>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</si>
  <si>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</si>
  <si>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</si>
  <si>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</si>
  <si>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</si>
  <si>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</si>
  <si>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</si>
  <si>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</si>
  <si>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</si>
  <si>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</si>
  <si>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</si>
  <si>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</si>
  <si>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</si>
  <si>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</si>
  <si>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</si>
  <si>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</si>
  <si>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</si>
  <si>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</si>
  <si>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</si>
  <si>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</si>
  <si>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</si>
  <si>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</si>
  <si>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</si>
  <si>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</si>
  <si>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</si>
  <si>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</si>
  <si>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</si>
  <si>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</si>
  <si>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</si>
  <si>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</si>
  <si>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</si>
  <si>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</si>
  <si>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</si>
  <si>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</si>
  <si>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</si>
  <si>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</si>
  <si>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</si>
  <si>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</si>
  <si>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</si>
  <si>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</si>
  <si>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</si>
  <si>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</si>
  <si>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</si>
  <si>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</si>
  <si>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</si>
  <si>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</si>
  <si>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</si>
  <si>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</si>
  <si>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</si>
  <si>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</si>
  <si>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</si>
  <si>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</si>
  <si>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</si>
  <si>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</si>
  <si>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</si>
  <si>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</si>
  <si>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</si>
  <si>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</si>
  <si>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</si>
  <si>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</si>
  <si>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</si>
  <si>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</si>
  <si>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</si>
  <si>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</si>
  <si>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</si>
  <si>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</si>
  <si>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</si>
  <si>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</si>
  <si>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</si>
  <si>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</si>
  <si>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</si>
  <si>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</si>
  <si>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</si>
  <si>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</si>
  <si>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</si>
  <si>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</si>
  <si>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</si>
  <si>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</si>
  <si>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</si>
  <si>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</si>
  <si>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</si>
  <si>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</si>
  <si>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</si>
  <si>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</si>
  <si>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</si>
  <si>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</si>
  <si>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</si>
  <si>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</si>
  <si>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</si>
  <si>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</si>
  <si>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</si>
  <si>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</si>
  <si>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</si>
  <si>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</si>
  <si>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</si>
  <si>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</si>
  <si>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</si>
  <si>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</si>
  <si>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</si>
  <si>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</si>
  <si>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</si>
  <si>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</si>
  <si>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</si>
  <si>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</si>
  <si>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</si>
  <si>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</si>
  <si>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</si>
  <si>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</si>
  <si>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</si>
  <si>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</si>
  <si>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</si>
  <si>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</si>
  <si>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</si>
  <si>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</si>
  <si>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</si>
  <si>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</si>
  <si>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</si>
  <si>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</si>
  <si>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</si>
  <si>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</si>
  <si>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</si>
  <si>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</si>
  <si>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</si>
  <si>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</si>
  <si>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</si>
  <si>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</si>
  <si>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</si>
  <si>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</si>
  <si>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</si>
  <si>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</si>
  <si>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</si>
  <si>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</si>
  <si>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</si>
  <si>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</si>
  <si>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</si>
  <si>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</si>
  <si>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</si>
  <si>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</si>
  <si>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</si>
  <si>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</si>
  <si>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</si>
  <si>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</si>
  <si>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</si>
  <si>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</si>
  <si>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</si>
  <si>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</si>
  <si>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</si>
  <si>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</si>
  <si>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</si>
  <si>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</si>
  <si>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</si>
  <si>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</si>
  <si>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</si>
  <si>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</si>
  <si>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</si>
  <si>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</si>
  <si>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</si>
  <si>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</si>
  <si>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</si>
  <si>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</si>
  <si>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</si>
  <si>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</si>
  <si>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</si>
  <si>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</si>
  <si>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</si>
  <si>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</si>
  <si>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</si>
  <si>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</si>
  <si>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</si>
  <si>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</si>
  <si>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</si>
  <si>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</si>
  <si>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</si>
  <si>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</si>
  <si>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</si>
  <si>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</si>
  <si>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</si>
  <si>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</si>
  <si>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</si>
  <si>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</si>
  <si>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</si>
  <si>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</si>
  <si>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</si>
  <si>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</si>
  <si>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</si>
  <si>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</si>
  <si>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</si>
  <si>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</si>
  <si>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</si>
  <si>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</si>
  <si>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</si>
  <si>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</si>
  <si>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</si>
  <si>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</si>
  <si>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</si>
  <si>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</si>
  <si>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</si>
  <si>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</si>
  <si>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</si>
  <si>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</si>
  <si>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</si>
  <si>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</si>
  <si>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</si>
  <si>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</si>
  <si>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</si>
  <si>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</si>
  <si>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</si>
  <si>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</si>
  <si>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</si>
  <si>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</si>
  <si>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</si>
  <si>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</si>
  <si>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</si>
  <si>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</si>
  <si>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</si>
  <si>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</si>
  <si>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</si>
  <si>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</si>
  <si>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</si>
  <si>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</si>
  <si>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</si>
  <si>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</si>
  <si>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</si>
  <si>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</si>
  <si>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</si>
  <si>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</si>
  <si>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</si>
  <si>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</si>
  <si>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</si>
  <si>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</si>
  <si>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</si>
  <si>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</si>
  <si>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</si>
  <si>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</si>
  <si>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</si>
  <si>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</si>
  <si>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</si>
  <si>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</si>
  <si>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</si>
  <si>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</si>
  <si>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</si>
  <si>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</si>
  <si>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</si>
  <si>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</si>
  <si>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</si>
  <si>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</si>
  <si>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</si>
  <si>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</si>
  <si>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</si>
  <si>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</si>
  <si>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</si>
  <si>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</si>
  <si>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</si>
  <si>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</si>
  <si>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</si>
  <si>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</si>
  <si>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</si>
  <si>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</si>
  <si>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</si>
  <si>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</si>
  <si>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</si>
  <si>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</si>
  <si>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</si>
  <si>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</si>
  <si>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</si>
  <si>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</si>
  <si>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</si>
  <si>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</si>
  <si>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</si>
  <si>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</si>
  <si>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</si>
  <si>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</si>
  <si>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</si>
  <si>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</si>
  <si>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</si>
  <si>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</si>
  <si>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</si>
  <si>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</si>
  <si>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</si>
  <si>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</si>
  <si>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</si>
  <si>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</si>
  <si>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</si>
  <si>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</si>
  <si>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</si>
  <si>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</si>
  <si>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</si>
  <si>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</si>
  <si>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</si>
  <si>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</si>
  <si>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</si>
  <si>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</si>
  <si>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</si>
  <si>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</si>
  <si>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</si>
  <si>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</si>
  <si>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</si>
  <si>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</si>
  <si>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</si>
  <si>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</si>
  <si>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</si>
  <si>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</si>
  <si>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</si>
  <si>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</si>
  <si>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</si>
  <si>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</si>
  <si>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</si>
  <si>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</si>
  <si>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</si>
  <si>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</si>
  <si>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</si>
  <si>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</si>
  <si>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</si>
  <si>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</si>
  <si>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</si>
  <si>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</si>
  <si>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</si>
  <si>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</si>
  <si>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</si>
  <si>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</si>
  <si>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</si>
  <si>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</si>
  <si>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</si>
  <si>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</si>
  <si>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</si>
  <si>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</si>
  <si>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</si>
  <si>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</si>
  <si>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</si>
  <si>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</si>
  <si>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</si>
  <si>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</si>
  <si>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</si>
  <si>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</si>
  <si>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</si>
  <si>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</si>
  <si>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</si>
  <si>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</si>
  <si>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</si>
  <si>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</si>
  <si>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</si>
  <si>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</si>
  <si>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</si>
  <si>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</si>
  <si>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</si>
  <si>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</si>
  <si>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</si>
  <si>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</si>
  <si>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</si>
  <si>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</si>
  <si>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</si>
  <si>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</si>
  <si>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</si>
  <si>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</si>
  <si>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</si>
  <si>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</si>
  <si>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</si>
  <si>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</si>
  <si>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</si>
  <si>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</si>
  <si>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</si>
  <si>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</si>
  <si>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</si>
  <si>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</si>
  <si>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</si>
  <si>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</si>
  <si>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</si>
  <si>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</si>
  <si>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</si>
  <si>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</si>
  <si>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</si>
  <si>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</si>
  <si>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</si>
  <si>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</si>
  <si>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</si>
  <si>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</si>
  <si>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</si>
  <si>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</si>
  <si>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</si>
  <si>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</si>
  <si>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</si>
  <si>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</si>
  <si>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</si>
  <si>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</si>
  <si>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</si>
  <si>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</si>
  <si>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</si>
  <si>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</si>
  <si>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</si>
  <si>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</si>
  <si>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</si>
  <si>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</si>
  <si>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</si>
  <si>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</si>
  <si>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</si>
  <si>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</si>
  <si>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</si>
  <si>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</si>
  <si>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</si>
  <si>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</si>
  <si>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</si>
  <si>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</si>
  <si>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</si>
  <si>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</si>
  <si>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</si>
  <si>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</si>
  <si>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</si>
  <si>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</si>
  <si>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</si>
  <si>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</si>
  <si>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</si>
  <si>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</si>
  <si>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</si>
  <si>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</si>
  <si>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</si>
  <si>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</si>
  <si>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</si>
  <si>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</si>
  <si>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</si>
  <si>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</si>
  <si>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</si>
  <si>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</si>
  <si>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</si>
  <si>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</si>
  <si>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</si>
  <si>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</si>
  <si>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</si>
  <si>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</si>
  <si>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</si>
  <si>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</si>
  <si>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</si>
  <si>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</si>
  <si>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</si>
  <si>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</si>
  <si>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</si>
  <si>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</si>
  <si>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</si>
  <si>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</si>
  <si>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</si>
  <si>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</si>
  <si>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</si>
  <si>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</si>
  <si>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</si>
  <si>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</si>
  <si>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</si>
  <si>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</si>
  <si>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</si>
  <si>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</si>
  <si>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</si>
  <si>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</si>
  <si>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</si>
  <si>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</si>
  <si>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</si>
  <si>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</si>
  <si>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</si>
  <si>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</si>
  <si>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</si>
  <si>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</si>
  <si>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</si>
  <si>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</si>
  <si>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</si>
  <si>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</si>
  <si>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</si>
  <si>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</si>
  <si>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</si>
  <si>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</si>
  <si>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</si>
  <si>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</si>
  <si>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</si>
  <si>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</si>
  <si>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</si>
  <si>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</si>
  <si>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</si>
  <si>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</si>
  <si>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</si>
  <si>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</si>
  <si>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</si>
  <si>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</si>
  <si>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</si>
  <si>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</si>
  <si>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</si>
  <si>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</si>
  <si>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</si>
  <si>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</si>
  <si>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</si>
  <si>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</si>
  <si>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</si>
  <si>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</si>
  <si>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</si>
  <si>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</si>
  <si>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</si>
  <si>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</si>
  <si>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</si>
  <si>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</si>
  <si>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</si>
  <si>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</si>
  <si>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</si>
  <si>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</si>
  <si>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</si>
  <si>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</si>
  <si>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</si>
  <si>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</si>
  <si>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</si>
  <si>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</si>
  <si>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</si>
  <si>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</si>
  <si>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</si>
  <si>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</si>
  <si>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</si>
  <si>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</si>
  <si>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</si>
  <si>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</si>
  <si>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</si>
  <si>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</si>
  <si>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</si>
  <si>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</si>
  <si>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</si>
  <si>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</si>
  <si>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</si>
  <si>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</si>
  <si>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</si>
  <si>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</si>
  <si>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</si>
  <si>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</si>
  <si>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</si>
  <si>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</si>
  <si>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</si>
  <si>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</si>
  <si>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</si>
  <si>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</si>
  <si>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</si>
  <si>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</si>
  <si>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</si>
  <si>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</si>
  <si>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</si>
  <si>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</si>
  <si>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</si>
  <si>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</si>
  <si>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</si>
  <si>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</si>
  <si>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</si>
  <si>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</si>
  <si>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</si>
  <si>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</si>
  <si>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</si>
  <si>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</si>
  <si>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</si>
  <si>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</si>
  <si>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</si>
  <si>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</si>
  <si>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</si>
  <si>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</si>
  <si>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</si>
  <si>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</si>
  <si>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</si>
  <si>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</si>
  <si>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</si>
  <si>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</si>
  <si>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</si>
  <si>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</si>
  <si>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</si>
  <si>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</si>
  <si>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</si>
  <si>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</si>
  <si>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</si>
  <si>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</si>
  <si>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</si>
  <si>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</si>
  <si>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</si>
  <si>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</si>
  <si>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</si>
  <si>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</si>
  <si>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</si>
  <si>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</si>
  <si>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</si>
  <si>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</si>
  <si>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</si>
  <si>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</si>
  <si>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</si>
  <si>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</si>
  <si>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</si>
  <si>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</si>
  <si>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</si>
  <si>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</si>
  <si>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</si>
  <si>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</si>
  <si>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</si>
  <si>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</si>
  <si>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</si>
  <si>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</si>
  <si>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</si>
  <si>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</si>
  <si>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</si>
  <si>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</si>
  <si>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</si>
  <si>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</si>
  <si>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</si>
  <si>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</si>
  <si>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</si>
  <si>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</si>
  <si>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</si>
  <si>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</si>
  <si>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</si>
  <si>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</si>
  <si>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</si>
  <si>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</si>
  <si>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</si>
  <si>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</si>
  <si>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</si>
  <si>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</si>
  <si>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</si>
  <si>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</si>
  <si>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</si>
  <si>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</si>
  <si>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</si>
  <si>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</si>
  <si>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</si>
  <si>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</si>
  <si>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</si>
  <si>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</si>
  <si>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</si>
  <si>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</si>
  <si>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</si>
  <si>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</si>
  <si>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</si>
  <si>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</si>
  <si>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</si>
  <si>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</si>
  <si>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</si>
  <si>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</si>
  <si>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</si>
  <si>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</si>
  <si>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</si>
  <si>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</si>
  <si>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</si>
  <si>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</si>
  <si>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</si>
  <si>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</si>
  <si>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</si>
  <si>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</si>
  <si>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</si>
  <si>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</si>
  <si>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</si>
  <si>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</si>
  <si>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</si>
  <si>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</si>
  <si>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</si>
  <si>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</si>
  <si>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</si>
  <si>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</si>
  <si>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</si>
  <si>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</si>
  <si>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</si>
  <si>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</si>
  <si>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</si>
  <si>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</si>
  <si>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</si>
  <si>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</si>
  <si>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</si>
  <si>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</si>
  <si>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</si>
  <si>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</si>
  <si>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</si>
  <si>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</si>
  <si>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</si>
  <si>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</si>
  <si>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</si>
  <si>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</si>
  <si>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</si>
  <si>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</si>
  <si>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</si>
  <si>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</si>
  <si>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</si>
  <si>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</si>
  <si>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</si>
  <si>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</si>
  <si>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</si>
  <si>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</si>
  <si>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</si>
  <si>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</si>
  <si>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</si>
  <si>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</si>
  <si>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</si>
  <si>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</si>
  <si>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</si>
  <si>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</si>
  <si>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</si>
  <si>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</si>
  <si>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</si>
  <si>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</si>
  <si>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</si>
  <si>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</si>
  <si>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</si>
  <si>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</si>
  <si>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</si>
  <si>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</si>
  <si>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</si>
  <si>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</si>
  <si>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</si>
  <si>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</si>
  <si>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</si>
  <si>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</si>
  <si>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</si>
  <si>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</si>
  <si>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</si>
  <si>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</si>
  <si>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</si>
  <si>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</si>
  <si>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</si>
  <si>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</si>
  <si>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</si>
  <si>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</si>
  <si>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</si>
  <si>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</si>
  <si>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</si>
  <si>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</si>
  <si>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</si>
  <si>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</si>
  <si>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</si>
  <si>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</si>
  <si>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</si>
  <si>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</si>
  <si>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</si>
  <si>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</si>
  <si>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</si>
  <si>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</si>
  <si>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</si>
  <si>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</si>
  <si>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</si>
  <si>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</si>
  <si>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</si>
  <si>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</si>
  <si>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</si>
  <si>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</si>
  <si>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</si>
  <si>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</si>
  <si>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</si>
  <si>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</si>
  <si>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</si>
  <si>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</si>
  <si>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</si>
  <si>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</si>
  <si>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</si>
  <si>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</si>
  <si>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</si>
  <si>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</si>
  <si>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</si>
  <si>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</si>
  <si>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</si>
  <si>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</si>
  <si>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</si>
  <si>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</si>
  <si>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</si>
  <si>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</si>
  <si>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</si>
  <si>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</si>
  <si>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</si>
  <si>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</si>
  <si>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</si>
  <si>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</si>
  <si>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</si>
  <si>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</si>
  <si>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</si>
  <si>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</si>
  <si>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</si>
  <si>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</si>
  <si>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</si>
  <si>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</si>
  <si>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</si>
  <si>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</si>
  <si>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</si>
  <si>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</si>
  <si>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</si>
  <si>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</si>
  <si>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</si>
  <si>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</si>
  <si>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</si>
  <si>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</si>
  <si>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</si>
  <si>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</si>
  <si>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</si>
  <si>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</si>
  <si>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</si>
  <si>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</si>
  <si>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</si>
  <si>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</si>
  <si>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</si>
  <si>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</si>
  <si>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</si>
  <si>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</si>
  <si>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</si>
  <si>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</si>
  <si>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</si>
  <si>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</si>
  <si>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</si>
  <si>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</si>
  <si>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</si>
  <si>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</si>
  <si>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</si>
  <si>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</si>
  <si>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</si>
  <si>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</si>
  <si>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</si>
  <si>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</si>
  <si>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</si>
  <si>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</si>
  <si>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</si>
  <si>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</si>
  <si>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</si>
  <si>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</si>
  <si>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</si>
  <si>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</si>
  <si>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</si>
  <si>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</si>
  <si>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</si>
  <si>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</si>
  <si>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</si>
  <si>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</si>
  <si>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</si>
  <si>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</si>
  <si>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</si>
  <si>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</si>
  <si>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</si>
  <si>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</si>
  <si>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</si>
  <si>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</si>
  <si>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</si>
  <si>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</si>
  <si>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</si>
  <si>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</si>
  <si>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</si>
  <si>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</si>
  <si>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</si>
  <si>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</si>
  <si>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</si>
  <si>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</si>
  <si>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</si>
  <si>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</si>
  <si>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</si>
  <si>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</si>
  <si>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</si>
  <si>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</si>
  <si>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</si>
  <si>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</si>
  <si>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</si>
  <si>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</si>
  <si>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</si>
  <si>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</si>
  <si>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</si>
  <si>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</si>
  <si>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</si>
  <si>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</si>
  <si>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</si>
  <si>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</si>
  <si>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</si>
  <si>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</si>
  <si>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</si>
  <si>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</si>
  <si>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</si>
  <si>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</si>
  <si>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</si>
  <si>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</si>
  <si>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</si>
  <si>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</si>
  <si>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</si>
  <si>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</si>
  <si>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</si>
  <si>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</si>
  <si>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</si>
  <si>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</si>
  <si>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</si>
  <si>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</si>
  <si>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</si>
  <si>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</si>
  <si>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</si>
  <si>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</si>
  <si>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</si>
  <si>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</si>
  <si>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</si>
  <si>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</si>
  <si>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</si>
  <si>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</si>
  <si>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</si>
  <si>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</si>
  <si>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</si>
  <si>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</si>
  <si>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</si>
  <si>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</si>
  <si>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</si>
  <si>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</si>
  <si>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</si>
  <si>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</si>
  <si>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</si>
  <si>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</si>
  <si>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</si>
  <si>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</si>
  <si>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</si>
  <si>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</si>
  <si>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</si>
  <si>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</si>
  <si>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</si>
  <si>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</si>
  <si>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</si>
  <si>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</si>
  <si>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</si>
  <si>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</si>
  <si>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</si>
  <si>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</si>
  <si>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</si>
  <si>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</si>
  <si>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</si>
  <si>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</si>
  <si>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</si>
  <si>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</si>
  <si>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</si>
  <si>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</si>
  <si>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</si>
  <si>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</si>
  <si>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</si>
  <si>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</si>
  <si>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</si>
  <si>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</si>
  <si>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</si>
  <si>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</si>
  <si>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</si>
  <si>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</si>
  <si>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</si>
  <si>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</si>
  <si>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</si>
  <si>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</si>
  <si>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</si>
  <si>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</si>
  <si>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</si>
  <si>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</si>
  <si>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</si>
  <si>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</si>
  <si>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</si>
  <si>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</si>
  <si>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</si>
  <si>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</si>
  <si>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</si>
  <si>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</si>
  <si>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</si>
  <si>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</si>
  <si>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</si>
  <si>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</si>
  <si>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</si>
  <si>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</si>
  <si>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</si>
  <si>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</si>
  <si>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</si>
  <si>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</si>
  <si>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</si>
  <si>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</si>
  <si>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</si>
  <si>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</si>
  <si>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</si>
  <si>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</si>
  <si>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</si>
  <si>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</si>
  <si>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</si>
  <si>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</si>
  <si>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</si>
  <si>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</si>
  <si>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</si>
  <si>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</si>
  <si>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</si>
  <si>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</si>
  <si>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</si>
  <si>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</si>
  <si>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</si>
  <si>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</si>
  <si>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</si>
  <si>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</si>
  <si>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</si>
  <si>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</si>
  <si>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</si>
  <si>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</si>
  <si>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</si>
  <si>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</si>
  <si>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</si>
  <si>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</si>
  <si>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</si>
  <si>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</si>
  <si>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</si>
  <si>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</si>
  <si>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</si>
  <si>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</si>
  <si>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</si>
  <si>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</si>
  <si>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</si>
  <si>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</si>
  <si>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</si>
  <si>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</si>
  <si>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</si>
  <si>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</si>
  <si>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</si>
  <si>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</si>
  <si>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</si>
  <si>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</si>
  <si>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</si>
  <si>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</si>
  <si>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</si>
  <si>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</si>
  <si>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</si>
  <si>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</si>
  <si>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</si>
  <si>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</si>
  <si>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</si>
  <si>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</si>
  <si>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</si>
  <si>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</si>
  <si>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</si>
  <si>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</si>
  <si>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</si>
  <si>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</si>
  <si>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</si>
  <si>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</si>
  <si>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</si>
  <si>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</si>
  <si>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</si>
  <si>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</si>
  <si>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</si>
  <si>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</si>
  <si>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</si>
  <si>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</si>
  <si>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</si>
  <si>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</si>
  <si>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</si>
  <si>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</si>
  <si>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</si>
  <si>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</si>
  <si>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</si>
  <si>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</si>
  <si>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</si>
  <si>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</si>
  <si>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</si>
  <si>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</si>
  <si>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</si>
  <si>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</si>
  <si>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</si>
  <si>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</si>
  <si>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</si>
  <si>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</si>
  <si>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</si>
  <si>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</si>
  <si>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</si>
  <si>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</si>
  <si>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</si>
  <si>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</si>
  <si>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</si>
  <si>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</si>
  <si>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</si>
  <si>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</si>
  <si>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</si>
  <si>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</si>
  <si>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</si>
  <si>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</si>
  <si>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</si>
  <si>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</si>
  <si>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</si>
  <si>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</si>
  <si>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</si>
  <si>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</si>
  <si>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</si>
  <si>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</si>
  <si>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</si>
  <si>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</si>
  <si>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</si>
  <si>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</si>
  <si>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</si>
  <si>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</si>
  <si>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</si>
  <si>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</si>
  <si>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</si>
  <si>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</si>
  <si>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</si>
  <si>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</si>
  <si>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</si>
  <si>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</si>
  <si>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</si>
  <si>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</si>
  <si>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</si>
  <si>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</si>
  <si>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</si>
  <si>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</si>
  <si>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</si>
  <si>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</si>
  <si>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</si>
  <si>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</si>
  <si>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</si>
  <si>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</si>
  <si>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</si>
  <si>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</si>
  <si>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</si>
  <si>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</si>
  <si>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</si>
  <si>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</si>
  <si>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</si>
  <si>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</si>
  <si>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</si>
  <si>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</si>
  <si>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</si>
  <si>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</si>
  <si>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</si>
  <si>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</si>
  <si>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</si>
  <si>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</si>
  <si>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</si>
  <si>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</si>
  <si>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</si>
  <si>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</si>
  <si>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</si>
  <si>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</si>
  <si>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</si>
  <si>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</si>
  <si>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</si>
  <si>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</si>
  <si>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</si>
  <si>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</si>
  <si>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</si>
  <si>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</si>
  <si>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</si>
  <si>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</si>
  <si>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</si>
  <si>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</si>
  <si>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</si>
  <si>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</si>
  <si>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</si>
  <si>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</si>
  <si>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</si>
  <si>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</si>
  <si>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</si>
  <si>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</si>
  <si>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</si>
  <si>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</si>
  <si>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</si>
  <si>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</si>
  <si>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</si>
  <si>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</si>
  <si>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</si>
  <si>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</si>
  <si>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</si>
  <si>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</si>
  <si>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</si>
  <si>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</si>
  <si>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</si>
  <si>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</si>
  <si>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</si>
  <si>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</si>
  <si>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</si>
  <si>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</si>
  <si>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</si>
  <si>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</si>
  <si>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</si>
  <si>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</si>
  <si>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</si>
  <si>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</si>
  <si>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</si>
  <si>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</si>
  <si>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</si>
  <si>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</si>
  <si>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</si>
  <si>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</si>
  <si>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</si>
  <si>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</si>
  <si>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</si>
  <si>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</si>
  <si>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</si>
  <si>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</si>
  <si>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</si>
  <si>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</si>
  <si>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</si>
  <si>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</si>
  <si>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</si>
  <si>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</si>
  <si>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</si>
  <si>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</si>
  <si>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</si>
  <si>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</si>
  <si>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</si>
  <si>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</si>
  <si>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</si>
  <si>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</si>
  <si>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</si>
  <si>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</si>
  <si>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</si>
  <si>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</si>
  <si>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</si>
  <si>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</si>
  <si>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</si>
  <si>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</si>
  <si>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</si>
  <si>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</si>
  <si>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</si>
  <si>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</si>
  <si>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</si>
  <si>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</si>
  <si>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</si>
  <si>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</si>
  <si>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</si>
  <si>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</si>
  <si>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</si>
  <si>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</si>
  <si>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</si>
  <si>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</si>
  <si>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</si>
  <si>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</si>
  <si>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</si>
  <si>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</si>
  <si>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</si>
  <si>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</si>
  <si>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</si>
  <si>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</si>
  <si>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</si>
  <si>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</si>
  <si>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</si>
  <si>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</si>
  <si>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</si>
  <si>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</si>
  <si>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</si>
  <si>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</si>
  <si>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</si>
  <si>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</si>
  <si>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</si>
  <si>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</si>
  <si>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</si>
  <si>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</si>
  <si>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</si>
  <si>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</si>
  <si>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</si>
  <si>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</si>
  <si>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</si>
  <si>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</si>
  <si>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</si>
  <si>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</si>
  <si>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</si>
  <si>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</si>
  <si>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</si>
  <si>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</si>
  <si>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</si>
  <si>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</si>
  <si>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</si>
  <si>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</si>
  <si>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</si>
  <si>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</si>
  <si>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</si>
  <si>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</si>
  <si>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</si>
  <si>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</si>
  <si>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</si>
  <si>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</si>
  <si>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</si>
  <si>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</si>
  <si>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</si>
  <si>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</si>
  <si>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</si>
  <si>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</si>
  <si>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</si>
  <si>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</si>
  <si>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</si>
  <si>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</si>
  <si>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</si>
  <si>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</si>
  <si>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</si>
  <si>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</si>
  <si>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</si>
  <si>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</si>
  <si>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</si>
  <si>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</si>
  <si>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</si>
  <si>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</si>
  <si>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</si>
  <si>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</si>
  <si>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</si>
  <si>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</si>
  <si>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</si>
  <si>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</si>
  <si>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</si>
  <si>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</si>
  <si>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</si>
  <si>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</si>
  <si>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</si>
  <si>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</si>
  <si>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</si>
  <si>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</si>
  <si>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</si>
  <si>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</si>
  <si>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</si>
  <si>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</si>
  <si>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</si>
  <si>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</si>
  <si>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</si>
  <si>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</si>
  <si>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</si>
  <si>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</si>
  <si>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</si>
  <si>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</si>
  <si>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</si>
  <si>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</si>
  <si>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</si>
  <si>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</si>
  <si>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</si>
  <si>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</si>
  <si>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</si>
  <si>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</si>
  <si>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</si>
  <si>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</si>
  <si>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</si>
  <si>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</si>
  <si>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</si>
  <si>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</si>
  <si>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</si>
  <si>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</si>
  <si>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</si>
  <si>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</si>
  <si>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</si>
  <si>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</si>
  <si>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</si>
  <si>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</si>
  <si>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</si>
  <si>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</si>
  <si>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</si>
  <si>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</si>
  <si>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</si>
  <si>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</si>
  <si>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</si>
  <si>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</si>
  <si>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</si>
  <si>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</si>
  <si>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</si>
  <si>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</si>
  <si>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</si>
  <si>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</si>
  <si>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</si>
  <si>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</si>
  <si>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</si>
  <si>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</si>
  <si>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</si>
  <si>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</si>
  <si>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</si>
  <si>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</si>
  <si>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</si>
  <si>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</si>
  <si>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</si>
  <si>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</si>
  <si>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</si>
  <si>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</si>
  <si>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</si>
  <si>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</si>
  <si>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</si>
  <si>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</si>
  <si>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</si>
  <si>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</si>
  <si>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</si>
  <si>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</si>
  <si>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</si>
  <si>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</si>
  <si>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</si>
  <si>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</si>
  <si>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</si>
  <si>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</si>
  <si>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</si>
  <si>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</si>
  <si>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</si>
  <si>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</si>
  <si>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</si>
  <si>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</si>
  <si>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</si>
  <si>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</si>
  <si>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</si>
  <si>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</si>
  <si>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</si>
  <si>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</si>
  <si>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</si>
  <si>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</si>
  <si>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</si>
  <si>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</si>
  <si>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</si>
  <si>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</si>
  <si>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</si>
  <si>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</si>
  <si>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</si>
  <si>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</si>
  <si>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</si>
  <si>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</si>
  <si>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</si>
  <si>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</si>
  <si>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</si>
  <si>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</si>
  <si>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</si>
  <si>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</si>
  <si>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</si>
  <si>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</si>
  <si>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</si>
  <si>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</si>
  <si>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</si>
  <si>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</si>
  <si>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</si>
  <si>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</si>
  <si>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</si>
  <si>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</si>
  <si>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</si>
  <si>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</si>
  <si>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</si>
  <si>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</si>
  <si>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</si>
  <si>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</si>
  <si>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</si>
  <si>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</si>
  <si>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</si>
  <si>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</si>
  <si>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</si>
  <si>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</si>
  <si>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</si>
  <si>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</si>
  <si>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</si>
  <si>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</si>
  <si>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</si>
  <si>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</si>
  <si>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</si>
  <si>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</si>
  <si>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</si>
  <si>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</si>
  <si>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</si>
  <si>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</si>
  <si>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</si>
  <si>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</si>
  <si>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</si>
  <si>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</si>
  <si>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</si>
  <si>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</si>
  <si>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</si>
  <si>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</si>
  <si>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</si>
  <si>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</si>
  <si>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</si>
  <si>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</si>
  <si>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</si>
  <si>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</si>
  <si>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</si>
  <si>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</si>
  <si>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</si>
  <si>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</si>
  <si>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</si>
  <si>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</si>
  <si>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</si>
  <si>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</si>
  <si>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</si>
  <si>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</si>
  <si>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</si>
  <si>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</si>
  <si>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</si>
  <si>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</si>
  <si>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</si>
  <si>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</si>
  <si>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</si>
  <si>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</si>
  <si>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</si>
  <si>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</si>
  <si>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</si>
  <si>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</si>
  <si>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</si>
  <si>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</si>
  <si>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</si>
  <si>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</si>
  <si>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</si>
  <si>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</si>
  <si>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</si>
  <si>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</si>
  <si>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</si>
  <si>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</si>
  <si>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</si>
  <si>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</si>
  <si>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</si>
  <si>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</si>
  <si>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</si>
  <si>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</si>
  <si>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</si>
  <si>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</si>
  <si>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</si>
  <si>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</si>
  <si>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</si>
  <si>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</si>
  <si>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</si>
  <si>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</si>
  <si>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</si>
  <si>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</si>
  <si>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</si>
  <si>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</si>
  <si>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</si>
  <si>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</si>
  <si>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</si>
  <si>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</si>
  <si>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</si>
  <si>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</si>
  <si>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</si>
  <si>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</si>
  <si>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</si>
  <si>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</si>
  <si>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</si>
  <si>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</si>
  <si>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</si>
  <si>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</si>
  <si>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</si>
  <si>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</si>
  <si>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</si>
  <si>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</si>
  <si>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</si>
  <si>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</si>
  <si>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</si>
  <si>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</si>
  <si>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</si>
  <si>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</si>
  <si>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</si>
  <si>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</si>
  <si>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</si>
  <si>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</si>
  <si>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</si>
  <si>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</si>
  <si>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</si>
  <si>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</si>
  <si>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</si>
  <si>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</si>
  <si>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</si>
  <si>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</si>
  <si>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</si>
  <si>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</si>
  <si>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</si>
  <si>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</si>
  <si>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</si>
  <si>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</si>
  <si>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</si>
  <si>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</si>
  <si>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</si>
  <si>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</si>
  <si>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</si>
  <si>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</si>
  <si>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</si>
  <si>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</si>
  <si>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</si>
  <si>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</si>
  <si>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</si>
  <si>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</si>
  <si>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</si>
  <si>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</si>
  <si>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</si>
  <si>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</si>
  <si>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</si>
  <si>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</si>
  <si>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</si>
  <si>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</si>
  <si>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</si>
  <si>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</si>
  <si>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</si>
  <si>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</si>
  <si>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</si>
  <si>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</si>
  <si>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</si>
  <si>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</si>
  <si>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</si>
  <si>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</si>
  <si>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</si>
  <si>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</si>
  <si>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</si>
  <si>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</si>
  <si>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</si>
  <si>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</si>
  <si>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</si>
  <si>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</si>
  <si>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</si>
  <si>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</si>
  <si>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</si>
  <si>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</si>
  <si>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</si>
  <si>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</si>
  <si>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</si>
  <si>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</si>
  <si>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</si>
  <si>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</si>
  <si>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</si>
  <si>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</si>
  <si>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</si>
  <si>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</si>
  <si>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</si>
  <si>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</si>
  <si>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</si>
  <si>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</si>
  <si>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</si>
  <si>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</si>
  <si>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</si>
  <si>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</si>
  <si>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</si>
  <si>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</si>
  <si>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</si>
  <si>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</si>
  <si>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</si>
  <si>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</si>
  <si>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</si>
  <si>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</si>
  <si>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</si>
  <si>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</si>
  <si>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</si>
  <si>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</si>
  <si>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</si>
  <si>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</si>
  <si>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</si>
  <si>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</si>
  <si>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</si>
  <si>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</si>
  <si>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</si>
  <si>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</si>
  <si>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</si>
  <si>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</si>
  <si>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</si>
  <si>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</si>
  <si>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</si>
  <si>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</si>
  <si>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</si>
  <si>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</si>
  <si>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</si>
  <si>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</si>
  <si>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</si>
  <si>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</si>
  <si>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</si>
  <si>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</si>
  <si>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</si>
  <si>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</si>
  <si>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</si>
  <si>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</si>
  <si>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</si>
  <si>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</si>
  <si>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</si>
  <si>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</si>
  <si>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</si>
  <si>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</si>
  <si>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</si>
  <si>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</si>
  <si>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</si>
  <si>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</si>
  <si>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</si>
  <si>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</si>
  <si>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</si>
  <si>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</si>
  <si>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</si>
  <si>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</si>
  <si>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</si>
  <si>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</si>
  <si>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</si>
  <si>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</si>
  <si>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</si>
  <si>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</si>
  <si>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</si>
  <si>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</si>
  <si>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</si>
  <si>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</si>
  <si>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</si>
  <si>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</si>
  <si>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</si>
  <si>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</si>
  <si>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</si>
  <si>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</si>
  <si>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</si>
  <si>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</si>
  <si>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</si>
  <si>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</si>
  <si>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</si>
  <si>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</si>
  <si>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</si>
  <si>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</si>
  <si>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</si>
  <si>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</si>
  <si>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</si>
  <si>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</si>
  <si>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</si>
  <si>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</si>
  <si>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</si>
  <si>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</si>
  <si>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</si>
  <si>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</si>
  <si>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</si>
  <si>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</si>
  <si>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</si>
  <si>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</si>
  <si>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</si>
  <si>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</si>
  <si>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</si>
  <si>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</si>
  <si>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</si>
  <si>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</si>
  <si>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</si>
  <si>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</si>
  <si>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</si>
  <si>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</si>
  <si>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</si>
  <si>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</si>
  <si>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</si>
  <si>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</si>
  <si>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</si>
  <si>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</si>
  <si>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</si>
  <si>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</si>
  <si>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</si>
  <si>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</si>
  <si>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</si>
  <si>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</si>
  <si>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</si>
  <si>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</si>
  <si>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</si>
  <si>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</si>
  <si>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</si>
  <si>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</si>
  <si>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</si>
  <si>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</si>
  <si>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</si>
  <si>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</si>
  <si>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</si>
  <si>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</si>
  <si>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</si>
  <si>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</si>
  <si>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</si>
  <si>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</si>
  <si>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</si>
  <si>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</si>
  <si>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</si>
  <si>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</si>
  <si>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</si>
  <si>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</si>
  <si>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</si>
  <si>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</si>
  <si>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</si>
  <si>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</si>
  <si>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</si>
  <si>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</si>
  <si>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</si>
  <si>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</si>
  <si>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</si>
  <si>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</si>
  <si>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</si>
  <si>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</si>
  <si>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</si>
  <si>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</si>
  <si>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</si>
  <si>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</si>
  <si>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</si>
  <si>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</si>
  <si>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</si>
  <si>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</si>
  <si>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</si>
  <si>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</si>
  <si>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</si>
  <si>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</si>
  <si>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</si>
  <si>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</si>
  <si>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</si>
  <si>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</si>
  <si>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</si>
  <si>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</si>
  <si>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</si>
  <si>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</si>
  <si>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</si>
  <si>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</si>
  <si>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</si>
  <si>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</si>
  <si>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</si>
  <si>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</si>
  <si>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</si>
  <si>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</si>
  <si>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</si>
  <si>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</si>
  <si>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</si>
  <si>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</si>
  <si>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</si>
  <si>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</si>
  <si>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</si>
  <si>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</si>
  <si>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</si>
  <si>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</si>
  <si>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</si>
  <si>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</si>
  <si>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</si>
  <si>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</si>
  <si>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</si>
  <si>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</si>
  <si>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</si>
  <si>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</si>
  <si>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</si>
  <si>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</si>
  <si>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</si>
  <si>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</si>
  <si>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</si>
  <si>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</si>
  <si>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</si>
  <si>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</si>
  <si>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</si>
  <si>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</si>
  <si>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</si>
  <si>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</si>
  <si>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</si>
  <si>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</si>
  <si>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</si>
  <si>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</si>
  <si>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</si>
  <si>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</si>
  <si>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</si>
  <si>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</si>
  <si>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</si>
  <si>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</si>
  <si>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</si>
  <si>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</si>
  <si>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</si>
  <si>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</si>
  <si>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</si>
  <si>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</si>
  <si>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</si>
  <si>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</si>
  <si>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</si>
  <si>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</si>
  <si>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</si>
  <si>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</si>
  <si>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</si>
  <si>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</si>
  <si>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</si>
  <si>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</si>
  <si>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</si>
  <si>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</si>
  <si>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</si>
  <si>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</si>
  <si>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</si>
  <si>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</si>
  <si>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</si>
  <si>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</si>
  <si>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</si>
  <si>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</si>
  <si>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</si>
  <si>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</si>
  <si>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</si>
  <si>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</si>
  <si>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</si>
  <si>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</si>
  <si>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</si>
  <si>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</si>
  <si>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</si>
  <si>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</si>
  <si>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</si>
  <si>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</si>
  <si>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</si>
  <si>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</si>
  <si>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</si>
  <si>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</si>
  <si>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</si>
  <si>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</si>
  <si>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</si>
  <si>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</si>
  <si>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</si>
  <si>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</si>
  <si>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</si>
  <si>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</si>
  <si>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</si>
  <si>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</si>
  <si>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</si>
  <si>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</si>
  <si>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</si>
  <si>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</si>
  <si>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</si>
  <si>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</si>
  <si>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</si>
  <si>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</si>
  <si>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</si>
  <si>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</si>
  <si>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</si>
  <si>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</si>
  <si>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</si>
  <si>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</si>
  <si>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</si>
  <si>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</si>
  <si>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</si>
  <si>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</si>
  <si>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</si>
  <si>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</si>
  <si>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</si>
  <si>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</si>
  <si>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</si>
  <si>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</si>
  <si>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</si>
  <si>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</si>
  <si>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</si>
  <si>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</si>
  <si>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</si>
  <si>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</si>
  <si>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</si>
  <si>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</si>
  <si>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</si>
  <si>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</si>
  <si>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</si>
  <si>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</si>
  <si>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</si>
  <si>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</si>
  <si>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</si>
  <si>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</si>
  <si>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</si>
  <si>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</si>
  <si>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</si>
  <si>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</si>
  <si>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</si>
  <si>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</si>
  <si>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</si>
  <si>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</si>
  <si>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</si>
  <si>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</si>
  <si>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</si>
  <si>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</si>
  <si>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</si>
  <si>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</si>
  <si>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</si>
  <si>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</si>
  <si>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</si>
  <si>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</si>
  <si>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</si>
  <si>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</si>
  <si>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</si>
  <si>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</si>
  <si>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</si>
  <si>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</si>
  <si>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</si>
  <si>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</si>
  <si>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</si>
  <si>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</si>
  <si>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</si>
  <si>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</si>
  <si>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</si>
  <si>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</si>
  <si>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</si>
  <si>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</si>
  <si>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</si>
  <si>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</si>
  <si>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</si>
  <si>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</si>
  <si>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</si>
  <si>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</si>
  <si>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</si>
  <si>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</si>
  <si>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</si>
  <si>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</si>
  <si>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</si>
  <si>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</si>
  <si>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</si>
  <si>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</si>
  <si>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</si>
  <si>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</si>
  <si>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</si>
  <si>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</si>
  <si>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</si>
  <si>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</si>
  <si>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</si>
  <si>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</si>
  <si>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</si>
  <si>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</si>
  <si>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</si>
  <si>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</si>
  <si>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</si>
  <si>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</si>
  <si>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</si>
  <si>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</si>
  <si>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</si>
  <si>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</si>
  <si>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</si>
  <si>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</si>
  <si>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</si>
  <si>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</si>
  <si>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</si>
  <si>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</si>
  <si>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</si>
  <si>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</si>
  <si>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</si>
  <si>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</si>
  <si>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</si>
  <si>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</si>
  <si>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</si>
  <si>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</si>
  <si>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</si>
  <si>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</si>
  <si>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</si>
  <si>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</si>
  <si>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</si>
  <si>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</si>
  <si>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</si>
  <si>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</si>
  <si>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</si>
  <si>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</si>
  <si>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</si>
  <si>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</si>
  <si>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</si>
  <si>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</si>
  <si>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</si>
  <si>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</si>
  <si>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</si>
  <si>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</si>
  <si>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</si>
  <si>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</si>
  <si>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</si>
  <si>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</si>
  <si>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</si>
  <si>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</si>
  <si>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</si>
  <si>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</si>
  <si>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</si>
  <si>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</si>
  <si>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</si>
  <si>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</si>
  <si>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</si>
  <si>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</si>
  <si>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</si>
  <si>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</si>
  <si>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</si>
  <si>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</si>
  <si>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</si>
  <si>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</si>
  <si>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</si>
  <si>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</si>
  <si>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</si>
  <si>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</si>
  <si>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</si>
  <si>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</si>
  <si>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</si>
  <si>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</si>
  <si>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</si>
  <si>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</si>
  <si>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</si>
  <si>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</si>
  <si>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</si>
  <si>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</si>
  <si>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</si>
  <si>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</si>
  <si>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</si>
  <si>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</si>
  <si>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</si>
  <si>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</si>
  <si>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</si>
  <si>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</si>
  <si>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</si>
  <si>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</si>
  <si>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</si>
  <si>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</si>
  <si>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</si>
  <si>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</si>
  <si>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</si>
  <si>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</si>
  <si>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</si>
  <si>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</si>
  <si>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</si>
  <si>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</si>
  <si>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</si>
  <si>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</si>
  <si>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</si>
  <si>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</si>
  <si>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</si>
  <si>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</si>
  <si>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</si>
  <si>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</si>
  <si>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</si>
  <si>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</si>
  <si>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</si>
  <si>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</si>
  <si>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</si>
  <si>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</si>
  <si>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</si>
  <si>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</si>
  <si>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</si>
  <si>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</si>
  <si>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</si>
  <si>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</si>
  <si>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</si>
  <si>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</si>
  <si>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</si>
  <si>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</si>
  <si>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</si>
  <si>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</si>
  <si>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</si>
  <si>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</si>
  <si>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</si>
  <si>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</si>
  <si>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</si>
  <si>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</si>
  <si>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</si>
  <si>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</si>
  <si>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</si>
  <si>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</si>
  <si>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</si>
  <si>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</si>
  <si>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</si>
  <si>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</si>
  <si>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</si>
  <si>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</si>
  <si>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</si>
  <si>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</si>
  <si>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</si>
  <si>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</si>
  <si>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</si>
  <si>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</si>
  <si>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</si>
  <si>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</si>
  <si>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</si>
  <si>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</si>
  <si>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</si>
  <si>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</si>
  <si>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</si>
  <si>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</si>
  <si>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</si>
  <si>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</si>
  <si>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</si>
  <si>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</si>
  <si>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</si>
  <si>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</si>
  <si>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</si>
  <si>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</si>
  <si>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</si>
  <si>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</si>
  <si>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</si>
  <si>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</si>
  <si>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</si>
  <si>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</si>
  <si>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</si>
  <si>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</si>
  <si>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</si>
  <si>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</si>
  <si>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</si>
  <si>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</si>
  <si>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</si>
  <si>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</si>
  <si>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</si>
  <si>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</si>
  <si>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</si>
  <si>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</si>
  <si>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</si>
  <si>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</si>
  <si>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</si>
  <si>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</si>
  <si>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</si>
  <si>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</si>
  <si>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</si>
  <si>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</si>
  <si>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</si>
  <si>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</si>
  <si>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</si>
  <si>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</si>
  <si>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</si>
  <si>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</si>
  <si>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</si>
  <si>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</si>
  <si>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</si>
  <si>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</si>
  <si>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</si>
  <si>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</si>
  <si>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</si>
  <si>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</si>
  <si>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</si>
  <si>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</si>
  <si>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</si>
  <si>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</si>
  <si>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</si>
  <si>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</si>
  <si>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</si>
  <si>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</si>
  <si>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</si>
  <si>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</si>
  <si>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</si>
  <si>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</si>
  <si>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</si>
  <si>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</si>
  <si>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</si>
  <si>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</si>
  <si>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</si>
  <si>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</si>
  <si>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</si>
  <si>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</si>
  <si>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</si>
  <si>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</si>
  <si>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</si>
  <si>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</si>
  <si>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</si>
  <si>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</si>
  <si>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</si>
  <si>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</si>
  <si>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</si>
  <si>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</si>
  <si>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</si>
  <si>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</si>
  <si>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</si>
  <si>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</si>
  <si>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</si>
  <si>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</si>
  <si>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</si>
  <si>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</si>
  <si>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</si>
  <si>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</si>
  <si>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</si>
  <si>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</si>
  <si>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</si>
  <si>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</si>
  <si>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</si>
  <si>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</si>
  <si>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</si>
  <si>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</si>
  <si>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</si>
  <si>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</si>
  <si>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</si>
  <si>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</si>
  <si>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</si>
  <si>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</si>
  <si>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</si>
  <si>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</si>
  <si>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</si>
  <si>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</si>
  <si>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</si>
  <si>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</si>
  <si>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</si>
  <si>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</si>
  <si>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</si>
  <si>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</si>
  <si>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</si>
  <si>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</si>
  <si>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</si>
  <si>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</si>
  <si>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</si>
  <si>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</si>
  <si>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</si>
  <si>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</si>
  <si>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</si>
  <si>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</si>
  <si>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</si>
  <si>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</si>
  <si>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</si>
  <si>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</si>
  <si>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</si>
  <si>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</si>
  <si>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</si>
  <si>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</si>
  <si>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</si>
  <si>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</si>
  <si>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</si>
  <si>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</si>
  <si>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</si>
  <si>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</si>
  <si>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</si>
  <si>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</si>
  <si>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</si>
  <si>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</si>
  <si>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</si>
  <si>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</si>
  <si>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</si>
  <si>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</si>
  <si>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</si>
  <si>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</si>
  <si>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</si>
  <si>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</si>
  <si>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</si>
  <si>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</si>
  <si>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</si>
  <si>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</si>
  <si>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</si>
  <si>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</si>
  <si>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</si>
  <si>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</si>
  <si>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</si>
  <si>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</si>
  <si>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</si>
  <si>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</si>
  <si>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</si>
  <si>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</si>
  <si>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</si>
  <si>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</si>
  <si>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</si>
  <si>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</si>
  <si>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</si>
  <si>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</si>
  <si>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</si>
  <si>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</si>
  <si>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</si>
  <si>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</si>
  <si>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</si>
  <si>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</si>
  <si>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</si>
  <si>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</si>
  <si>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</si>
  <si>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</si>
  <si>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</si>
  <si>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</si>
  <si>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</si>
  <si>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</si>
  <si>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</si>
  <si>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</si>
  <si>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</si>
  <si>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</si>
  <si>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</si>
  <si>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</si>
  <si>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</si>
  <si>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</si>
  <si>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</si>
  <si>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</si>
  <si>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</si>
  <si>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</si>
  <si>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</si>
  <si>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</si>
  <si>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</si>
  <si>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</si>
  <si>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</si>
  <si>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</si>
  <si>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</si>
  <si>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</si>
  <si>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</si>
  <si>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</si>
  <si>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</si>
  <si>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</si>
  <si>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</si>
  <si>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</si>
  <si>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</si>
  <si>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</si>
  <si>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</si>
  <si>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</si>
  <si>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</si>
  <si>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</si>
  <si>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</si>
  <si>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</si>
  <si>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</si>
  <si>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</si>
  <si>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</si>
  <si>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</si>
  <si>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</si>
  <si>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</si>
  <si>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</si>
  <si>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</si>
  <si>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</si>
  <si>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</si>
  <si>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</si>
  <si>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</si>
  <si>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</si>
  <si>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</si>
  <si>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</si>
  <si>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</si>
  <si>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</si>
  <si>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</si>
  <si>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</si>
  <si>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</si>
  <si>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</si>
  <si>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</si>
  <si>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</si>
  <si>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</si>
  <si>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</si>
  <si>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</si>
  <si>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</si>
  <si>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</si>
  <si>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</si>
  <si>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</si>
  <si>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</si>
  <si>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</si>
  <si>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</si>
  <si>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</si>
  <si>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</si>
  <si>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</si>
  <si>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</si>
  <si>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</si>
  <si>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</si>
  <si>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</si>
  <si>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</si>
  <si>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</si>
  <si>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</si>
  <si>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</si>
  <si>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</si>
  <si>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</si>
  <si>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</si>
  <si>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</si>
  <si>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</si>
  <si>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</si>
  <si>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</si>
  <si>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</si>
  <si>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</si>
  <si>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</si>
  <si>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</si>
  <si>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</si>
  <si>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</si>
  <si>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</si>
  <si>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</si>
  <si>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</si>
  <si>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</si>
  <si>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</si>
  <si>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</si>
  <si>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</si>
  <si>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</si>
  <si>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</si>
  <si>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</si>
  <si>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</si>
  <si>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</si>
  <si>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</si>
  <si>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</si>
  <si>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</si>
  <si>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</si>
  <si>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</si>
  <si>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</si>
  <si>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</si>
  <si>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</si>
  <si>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</si>
  <si>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</si>
  <si>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</si>
  <si>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</si>
  <si>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</si>
  <si>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</si>
  <si>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</si>
  <si>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</si>
  <si>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</si>
  <si>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</si>
  <si>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</si>
  <si>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</si>
  <si>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</si>
  <si>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</si>
  <si>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</si>
  <si>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</si>
  <si>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</si>
  <si>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</si>
  <si>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</si>
  <si>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</si>
  <si>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</si>
  <si>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</si>
  <si>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</si>
  <si>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</si>
  <si>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</si>
  <si>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</si>
  <si>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</si>
  <si>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</si>
  <si>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</si>
  <si>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</si>
  <si>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</si>
  <si>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</si>
  <si>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</si>
  <si>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</si>
  <si>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</si>
  <si>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</si>
  <si>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</si>
  <si>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</si>
  <si>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</si>
  <si>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</si>
  <si>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</si>
  <si>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</si>
  <si>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</si>
  <si>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</si>
  <si>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</si>
  <si>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</si>
  <si>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</si>
  <si>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</si>
  <si>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</si>
  <si>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</si>
  <si>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</si>
  <si>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</si>
  <si>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</si>
  <si>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</si>
  <si>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</si>
  <si>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</si>
  <si>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</si>
  <si>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</si>
  <si>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</si>
  <si>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</si>
  <si>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</si>
  <si>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</si>
  <si>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</si>
  <si>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</si>
  <si>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</si>
  <si>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</si>
  <si>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</si>
  <si>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</si>
  <si>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</si>
  <si>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</si>
  <si>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</si>
  <si>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</si>
  <si>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</si>
  <si>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</si>
  <si>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</si>
  <si>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</si>
  <si>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</si>
  <si>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</si>
  <si>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</si>
  <si>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</si>
  <si>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</si>
  <si>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</si>
  <si>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</si>
  <si>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</si>
  <si>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</si>
  <si>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</si>
  <si>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</si>
  <si>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</si>
  <si>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</si>
  <si>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</si>
  <si>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</si>
  <si>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</si>
  <si>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</si>
  <si>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</si>
  <si>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</si>
  <si>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</si>
  <si>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</si>
  <si>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</si>
  <si>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</si>
  <si>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</si>
  <si>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</si>
  <si>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</si>
  <si>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</si>
  <si>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</si>
  <si>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</si>
  <si>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</si>
  <si>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</si>
  <si>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</si>
  <si>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</si>
  <si>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</si>
  <si>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</si>
  <si>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</si>
  <si>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</si>
  <si>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</si>
  <si>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</si>
  <si>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</si>
  <si>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</si>
  <si>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</si>
  <si>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</si>
  <si>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</si>
  <si>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</si>
  <si>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</si>
  <si>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</si>
  <si>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</si>
  <si>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</si>
  <si>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</si>
  <si>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</si>
  <si>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</si>
  <si>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</si>
  <si>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</si>
  <si>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</si>
  <si>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</si>
  <si>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</si>
  <si>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</si>
  <si>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</si>
  <si>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</si>
  <si>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</si>
  <si>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</si>
  <si>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</si>
  <si>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</si>
  <si>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</si>
  <si>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</si>
  <si>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</si>
  <si>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</si>
  <si>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</si>
  <si>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</si>
  <si>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</si>
  <si>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</si>
  <si>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</si>
  <si>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</si>
  <si>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</si>
  <si>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</si>
  <si>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</si>
  <si>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</si>
  <si>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</si>
  <si>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</si>
  <si>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</si>
  <si>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</si>
  <si>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</si>
  <si>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</si>
  <si>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</si>
  <si>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</si>
  <si>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</si>
  <si>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</si>
  <si>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</si>
  <si>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</si>
  <si>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</si>
  <si>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</si>
  <si>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</si>
  <si>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</si>
  <si>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</si>
  <si>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</si>
  <si>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</si>
  <si>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</si>
  <si>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</si>
  <si>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</si>
  <si>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</si>
  <si>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</si>
  <si>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</si>
  <si>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</si>
  <si>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</si>
  <si>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</si>
  <si>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</si>
  <si>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</si>
  <si>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</si>
  <si>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</si>
  <si>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</si>
  <si>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</si>
  <si>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</si>
  <si>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</si>
  <si>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</si>
  <si>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</si>
  <si>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</si>
  <si>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</si>
  <si>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</si>
  <si>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</si>
  <si>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</si>
  <si>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</si>
  <si>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</si>
  <si>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</si>
  <si>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</si>
  <si>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</si>
  <si>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</si>
  <si>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</si>
  <si>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</si>
  <si>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</si>
  <si>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</si>
  <si>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</si>
  <si>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</si>
  <si>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</si>
  <si>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</si>
  <si>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</si>
  <si>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</si>
  <si>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</si>
  <si>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</si>
  <si>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</si>
  <si>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</si>
  <si>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</si>
  <si>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</si>
  <si>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</si>
  <si>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</si>
  <si>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</si>
  <si>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</si>
  <si>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Change ID</t>
  </si>
  <si>
    <t>Description</t>
  </si>
  <si>
    <t>Impact</t>
  </si>
  <si>
    <t>Status</t>
  </si>
  <si>
    <t>CR001</t>
  </si>
  <si>
    <t>0 records affected</t>
  </si>
  <si>
    <t>Confirmed Clean</t>
  </si>
  <si>
    <t>CR002</t>
  </si>
  <si>
    <t>Filled 309 null CouponCode values with "NO_COUPON"</t>
  </si>
  <si>
    <t>Preserved 309 records</t>
  </si>
  <si>
    <t>Issue Resolved</t>
  </si>
  <si>
    <t>CR003</t>
  </si>
  <si>
    <t>CR004</t>
  </si>
  <si>
    <t>Verified TotalPrice =Quantity X UnitPrice</t>
  </si>
  <si>
    <t>0  mismatches</t>
  </si>
  <si>
    <t>Confirmed Date format, already in proper date formate</t>
  </si>
  <si>
    <t>0 reformats needed</t>
  </si>
  <si>
    <t>CR005</t>
  </si>
  <si>
    <t>Numeric precision in UnitPrice and TotalPrice confirmed they are rounded in 2 decimal places</t>
  </si>
  <si>
    <t>few rows rounded to 2 decimals</t>
  </si>
  <si>
    <t>NO_COUPON</t>
  </si>
  <si>
    <t>TotalPrice Confirmation</t>
  </si>
  <si>
    <t>Verified zero duplicates in OrderIDs</t>
  </si>
  <si>
    <t>Unique CustomerIDs</t>
  </si>
  <si>
    <t>CR006</t>
  </si>
  <si>
    <t>Identified 1189 Unique CustomerIDs</t>
  </si>
  <si>
    <t>0 changed</t>
  </si>
  <si>
    <t>Mean</t>
  </si>
  <si>
    <t>Median</t>
  </si>
  <si>
    <t>Minimum</t>
  </si>
  <si>
    <t>Maximum</t>
  </si>
  <si>
    <t>Count</t>
  </si>
  <si>
    <t>Metrice</t>
  </si>
  <si>
    <t>Sum of TotalPrice</t>
  </si>
  <si>
    <t>Row Labels</t>
  </si>
  <si>
    <t>Grand Total</t>
  </si>
  <si>
    <t>Count of OrderID</t>
  </si>
  <si>
    <t>Revenue By Products</t>
  </si>
  <si>
    <t>Orders by Status</t>
  </si>
  <si>
    <t>Revenue By Payment Method</t>
  </si>
  <si>
    <t>Revenue By Referral Source</t>
  </si>
  <si>
    <t>Products</t>
  </si>
  <si>
    <t>Orderstatus</t>
  </si>
  <si>
    <t>Payment Method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</si>
  <si>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</si>
  <si>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</si>
  <si>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</si>
  <si>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</si>
  <si>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</si>
  <si>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</si>
  <si>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</si>
  <si>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</si>
  <si>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</si>
  <si>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</si>
  <si>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</si>
  <si>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</si>
  <si>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Referral Source</t>
  </si>
  <si>
    <t>Monthly Revenue Trend By Products</t>
  </si>
  <si>
    <t>Months</t>
  </si>
  <si>
    <t>Q1</t>
  </si>
  <si>
    <t>Q3</t>
  </si>
  <si>
    <t>Outlier Flag of TotalPrice</t>
  </si>
  <si>
    <t>Outlier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</si>
</sst>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"/>
    <numFmt numFmtId="165" formatCode="yyyy\-mm\-dd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4" fillId="2" borderId="4" xfId="0" applyFont="1" applyFill="1" applyBorder="1" applyAlignment="1">
      <alignment horizontal="centerContinuous"/>
    </xf>
    <xf numFmtId="0" fontId="5" fillId="0" borderId="0" xfId="0" applyFont="1"/>
    <xf numFmtId="0" fontId="5" fillId="0" borderId="2" xfId="0" applyFont="1" applyBorder="1"/>
    <xf numFmtId="0" fontId="4" fillId="2" borderId="4" xfId="0" applyFont="1" applyFill="1" applyBorder="1" applyAlignment="1">
      <alignment horizontal="center"/>
    </xf>
    <xf numFmtId="0" fontId="5" fillId="2" borderId="3" xfId="0" applyFont="1" applyFill="1" applyBorder="1"/>
    <xf numFmtId="2" fontId="6" fillId="0" borderId="0" xfId="0" applyNumberFormat="1" applyFont="1"/>
    <xf numFmtId="2" fontId="6" fillId="0" borderId="2" xfId="0" applyNumberFormat="1" applyFont="1" applyBorder="1"/>
    <xf numFmtId="44" fontId="6" fillId="0" borderId="0" xfId="1" applyFont="1" applyFill="1" applyBorder="1" applyAlignment="1"/>
    <xf numFmtId="44" fontId="6" fillId="0" borderId="2" xfId="1" applyFont="1" applyFill="1" applyBorder="1" applyAlignment="1"/>
    <xf numFmtId="0" fontId="6" fillId="0" borderId="0" xfId="0" applyFont="1"/>
    <xf numFmtId="0" fontId="6" fillId="0" borderId="0" xfId="0" pivotButton="1" applyFont="1"/>
    <xf numFmtId="0" fontId="6" fillId="0" borderId="0" xfId="0" applyFont="1" applyAlignment="1">
      <alignment horizontal="left"/>
    </xf>
    <xf numFmtId="44" fontId="6" fillId="0" borderId="0" xfId="0" applyNumberFormat="1" applyFont="1"/>
    <xf numFmtId="0" fontId="5" fillId="2" borderId="0" xfId="0" applyFont="1" applyFill="1" applyAlignment="1">
      <alignment horizontal="center"/>
    </xf>
    <xf numFmtId="0" fontId="5" fillId="3" borderId="0" xfId="0" applyFont="1" applyFill="1"/>
  </cellXfs>
  <cellStyles count="2">
    <cellStyle name="Currency" xfId="1" builtinId="4"/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yyyy\-mm\-dd;@"/>
    </dxf>
    <dxf>
      <numFmt numFmtId="0" formatCode="General"/>
    </dxf>
    <dxf>
      <numFmt numFmtId="34" formatCode="_(&quot;$&quot;* #,##0.00_);_(&quot;$&quot;* \(#,##0.00\);_(&quot;$&quot;* &quot;-&quot;??_);_(@_)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4" formatCode="_(&quot;$&quot;* #,##0.00_);_(&quot;$&quot;* \(#,##0.00\);_(&quot;$&quot;* &quot;-&quot;??_);_(@_)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4" formatCode="_(&quot;$&quot;* #,##0.00_);_(&quot;$&quot;* \(#,##0.00\);_(&quot;$&quot;* &quot;-&quot;??_);_(@_)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4" formatCode="_(&quot;$&quot;* #,##0.00_);_(&quot;$&quot;* \(#,##0.00\);_(&quot;$&quot;* &quot;-&quot;??_);_(@_)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4" formatCode="_(&quot;$&quot;* #,##0.00_);_(&quot;$&quot;* \(#,##0.00\);_(&quot;$&quot;* &quot;-&quot;??_);_(@_)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2.943516203704" createdVersion="8" refreshedVersion="8" minRefreshableVersion="3" recordCount="1200" xr:uid="{572F3D44-DCF4-4B2E-94D8-5C6B7D803CB6}">
  <cacheSource type="worksheet">
    <worksheetSource ref="A1:N1201" sheet="Cleaned Data"/>
  </cacheSource>
  <cacheFields count="17">
    <cacheField name="OrderID" numFmtId="0">
      <sharedItems/>
    </cacheField>
    <cacheField name="Date" numFmtId="165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Price" numFmtId="0">
      <sharedItems containsSemiMixedTypes="0" containsString="0" containsNumber="1" minValue="11.39" maxValue="699.93" count="1193">
        <n v="570.62"/>
        <n v="151.35"/>
        <n v="550.67999999999995"/>
        <n v="273.19"/>
        <n v="626.01"/>
        <n v="245.86"/>
        <n v="664.42"/>
        <n v="149.55000000000001"/>
        <n v="134.28"/>
        <n v="509.38"/>
        <n v="625.97"/>
        <n v="49.14"/>
        <n v="180.5"/>
        <n v="201.49"/>
        <n v="393.33"/>
        <n v="473.96"/>
        <n v="533.80999999999995"/>
        <n v="423.4"/>
        <n v="431.44"/>
        <n v="224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000000000001"/>
        <n v="576.52"/>
        <n v="465.15"/>
        <n v="534.42999999999995"/>
        <n v="76.739999999999995"/>
        <n v="245.89"/>
        <n v="256.45999999999998"/>
        <n v="344.02"/>
        <n v="611.45000000000005"/>
        <n v="151.66"/>
        <n v="499.21"/>
        <n v="550.17999999999995"/>
        <n v="317.25"/>
        <n v="550.14"/>
        <n v="209.94"/>
        <n v="80.77"/>
        <n v="30.44"/>
        <n v="179.22"/>
        <n v="388.33"/>
        <n v="586.44000000000005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000000000001"/>
        <n v="81.7"/>
        <n v="127.18"/>
        <n v="12.1"/>
        <n v="490.92"/>
        <n v="478.65"/>
        <n v="629.21"/>
        <n v="434.45"/>
        <n v="589.44000000000005"/>
        <n v="433.45"/>
        <n v="90.87"/>
        <n v="398.17"/>
        <n v="382.88"/>
        <n v="583.17999999999995"/>
        <n v="175.36"/>
        <n v="311.91000000000003"/>
        <n v="589.55999999999995"/>
        <n v="394.3"/>
        <n v="565.20000000000005"/>
        <n v="540.41"/>
        <n v="165.49"/>
        <n v="146.72999999999999"/>
        <n v="643.03"/>
        <n v="225.11"/>
        <n v="114.81"/>
        <n v="455.33"/>
        <n v="182.08"/>
        <n v="492.75"/>
        <n v="48.61"/>
        <n v="431.01"/>
        <n v="531.17999999999995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000000000003"/>
        <n v="410.6"/>
        <n v="190.08"/>
        <n v="498.48"/>
        <n v="374.99"/>
        <n v="291.35000000000002"/>
        <n v="535.5"/>
        <n v="502.71"/>
        <n v="534.66999999999996"/>
        <n v="629.34"/>
        <n v="410.78"/>
        <n v="533.02"/>
        <n v="278.04000000000002"/>
        <n v="283.79000000000002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000000000003"/>
        <n v="217.56"/>
        <n v="105.57"/>
        <n v="444.76"/>
        <n v="399.04"/>
        <n v="534.48"/>
        <n v="408.21"/>
        <n v="424.4"/>
        <n v="269.83"/>
        <n v="564.58000000000004"/>
        <n v="331.06"/>
        <n v="299.35000000000002"/>
        <n v="101.32"/>
        <n v="211.14"/>
        <n v="65.86"/>
        <n v="641.39"/>
        <n v="536.58000000000004"/>
        <n v="500.29"/>
        <n v="86.29"/>
        <n v="384.14"/>
        <n v="594.96"/>
        <n v="427.82"/>
        <n v="662.94"/>
        <n v="148.22"/>
        <n v="254.12"/>
        <n v="664.46"/>
        <n v="600.80999999999995"/>
        <n v="68.34"/>
        <n v="430.83"/>
        <n v="431.69"/>
        <n v="512.05999999999995"/>
        <n v="539.91"/>
        <n v="316.07"/>
        <n v="404.39"/>
        <n v="600.54"/>
        <n v="186.28"/>
        <n v="214.54"/>
        <n v="210.7"/>
        <n v="133.55000000000001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"/>
        <n v="433.26"/>
        <n v="674.9"/>
        <n v="253.98"/>
        <n v="356.84"/>
        <n v="413.71"/>
        <n v="147.38999999999999"/>
        <n v="229.1"/>
        <n v="121.96"/>
        <n v="408.32"/>
        <n v="187.97"/>
        <n v="358.48"/>
        <n v="193.58"/>
        <n v="265.38"/>
        <n v="634.4"/>
        <n v="305.72000000000003"/>
        <n v="303.60000000000002"/>
        <n v="496"/>
        <n v="321.51"/>
        <n v="112.46"/>
        <n v="61.97"/>
        <n v="373.17"/>
        <n v="639.37"/>
        <n v="693.36"/>
        <n v="692.91"/>
        <n v="91.46"/>
        <n v="273.95999999999998"/>
        <n v="588.0499999999999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39999999999998"/>
        <n v="615.66999999999996"/>
        <n v="219.1"/>
        <n v="144.66"/>
        <n v="317.77"/>
        <n v="223.3"/>
        <n v="342.11"/>
        <n v="220.9"/>
        <n v="670.54"/>
        <n v="546.19000000000005"/>
        <n v="42.95"/>
        <n v="14.69"/>
        <n v="668.36"/>
        <n v="413.74"/>
        <n v="263.19"/>
        <n v="263.95999999999998"/>
        <n v="75.81"/>
        <n v="406.22"/>
        <n v="103.41"/>
        <n v="435.12"/>
        <n v="407.79"/>
        <n v="173.65"/>
        <n v="249.07"/>
        <n v="434.85"/>
        <n v="436.77"/>
        <n v="572.13"/>
        <n v="583.07000000000005"/>
        <n v="468.51"/>
        <n v="423.88"/>
        <n v="663.67"/>
        <n v="309.91000000000003"/>
        <n v="542.07000000000005"/>
        <n v="399.32"/>
        <n v="238.25"/>
        <n v="182.4"/>
        <n v="65.069999999999993"/>
        <n v="600.57000000000005"/>
        <n v="90.92"/>
        <n v="362.46"/>
        <n v="55.01"/>
        <n v="404.62"/>
        <n v="654.79"/>
        <n v="637.79"/>
        <n v="540.33000000000004"/>
        <n v="208.17"/>
        <n v="338.31"/>
        <n v="139.44999999999999"/>
        <n v="655.17999999999995"/>
        <n v="512.75"/>
        <n v="160.49"/>
        <n v="99.9"/>
        <n v="345.01"/>
        <n v="65.95"/>
        <n v="463.04"/>
        <n v="297.70999999999998"/>
        <n v="107.48"/>
        <n v="638.79999999999995"/>
        <n v="493.88"/>
        <n v="301.17"/>
        <n v="278.66000000000003"/>
        <n v="287.45999999999998"/>
        <n v="583.99"/>
        <n v="468.74"/>
        <n v="30.54"/>
        <n v="408.73"/>
        <n v="126.89"/>
        <n v="57.07"/>
        <n v="557.41"/>
        <n v="448.9"/>
        <n v="549.76"/>
        <n v="132.47999999999999"/>
        <n v="489.37"/>
        <n v="66.31"/>
        <n v="434.3"/>
        <n v="153.09"/>
        <n v="91.67"/>
        <n v="275.27999999999997"/>
        <n v="139.94999999999999"/>
        <n v="148.72"/>
        <n v="563.05999999999995"/>
        <n v="625.51"/>
        <n v="152.29"/>
        <n v="231.82"/>
        <n v="150.16999999999999"/>
        <n v="70.930000000000007"/>
        <n v="361.39"/>
        <n v="670.48"/>
        <n v="359.99"/>
        <n v="674.04"/>
        <n v="283.16000000000003"/>
        <n v="260.52999999999997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000000000005"/>
        <n v="623.34"/>
        <n v="501.26"/>
        <n v="655.09"/>
        <n v="264.79000000000002"/>
        <n v="359.73"/>
        <n v="465.33"/>
        <n v="54.41"/>
        <n v="64.66"/>
        <n v="173.96"/>
        <n v="630.82000000000005"/>
        <n v="693.41"/>
        <n v="433.33"/>
        <n v="374.58"/>
        <n v="408.56"/>
        <n v="183.67"/>
        <n v="606.57000000000005"/>
        <n v="589.57000000000005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8999999999997"/>
        <n v="393.8"/>
        <n v="553.57000000000005"/>
        <n v="191.63"/>
        <n v="93.02"/>
        <n v="39.53"/>
        <n v="633.97"/>
        <n v="697.5"/>
        <n v="508.69"/>
        <n v="527.46"/>
        <n v="627.20000000000005"/>
        <n v="75.010000000000005"/>
        <n v="529.54999999999995"/>
        <n v="127.41"/>
        <n v="287.13"/>
        <n v="427.06"/>
        <n v="53.93"/>
        <n v="423.93"/>
        <n v="160.22"/>
        <n v="538.67999999999995"/>
        <n v="337.38"/>
        <n v="620.21"/>
        <n v="99.1"/>
        <n v="451.97"/>
        <n v="66.099999999999994"/>
        <n v="547.32000000000005"/>
        <n v="412.53"/>
        <n v="84.13"/>
        <n v="518.23"/>
        <n v="39.51"/>
        <n v="133.01"/>
        <n v="118.8"/>
        <n v="139.57"/>
        <n v="184.15"/>
        <n v="644.04999999999995"/>
        <n v="55.41"/>
        <n v="310.93"/>
        <n v="216.66"/>
        <n v="452.7"/>
        <n v="288.20999999999998"/>
        <n v="206.6"/>
        <n v="685.2"/>
        <n v="22.94"/>
        <n v="301.88"/>
        <n v="57.45"/>
        <n v="161.24"/>
        <n v="262.58"/>
        <n v="515.19000000000005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6999999999999"/>
        <n v="487.21"/>
        <n v="509.58"/>
        <n v="416.81"/>
        <n v="160"/>
        <n v="253.05"/>
        <n v="615.1"/>
        <n v="183.18"/>
        <n v="75.78"/>
        <n v="675.57"/>
        <n v="109.29"/>
        <n v="639.83000000000004"/>
        <n v="62.81"/>
        <n v="615.83000000000004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4999999999998"/>
        <n v="553.52"/>
        <n v="166.99"/>
        <n v="198.35"/>
        <n v="403.58"/>
        <n v="464.29"/>
        <n v="635.98"/>
        <n v="528.05999999999995"/>
        <n v="515.32000000000005"/>
        <n v="657.79"/>
        <n v="153"/>
        <n v="668.48"/>
        <n v="46.5"/>
        <n v="653.47"/>
        <n v="628.89"/>
        <n v="675.1"/>
        <n v="89.41"/>
        <n v="320.01"/>
        <n v="41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19999999999993"/>
        <n v="421.42"/>
        <n v="384.69"/>
        <n v="448.15"/>
        <n v="79.08"/>
        <n v="185.41"/>
        <n v="566.07000000000005"/>
        <n v="187.88"/>
        <n v="255.99"/>
        <n v="627.34"/>
        <n v="474.14"/>
        <n v="154.37"/>
        <n v="145.05000000000001"/>
        <n v="67.08"/>
        <n v="522.08000000000004"/>
        <n v="514.6"/>
        <n v="577.82000000000005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19999999999997"/>
        <n v="274.75"/>
        <n v="634.0499999999999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000000000002"/>
        <n v="578.27"/>
        <n v="529.19000000000005"/>
        <n v="587.49"/>
        <n v="567.57000000000005"/>
        <n v="85.22"/>
        <n v="438.37"/>
        <n v="366.23"/>
        <n v="150.05000000000001"/>
        <n v="498.51"/>
        <n v="339.39"/>
        <n v="575.83000000000004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000000000005"/>
        <n v="424.89"/>
        <n v="438.89"/>
        <n v="72.599999999999994"/>
        <n v="194.75"/>
        <n v="231.26"/>
        <n v="327.12"/>
        <n v="253.67"/>
        <n v="257"/>
        <n v="539.20000000000005"/>
        <n v="50.74"/>
        <n v="624.16"/>
        <n v="372.92"/>
        <n v="358.75"/>
        <n v="342.02"/>
        <n v="422.34"/>
        <n v="22.07"/>
        <n v="163.13"/>
        <n v="360.66"/>
        <n v="463.39"/>
        <n v="155.27000000000001"/>
        <n v="509.42"/>
        <n v="652.48"/>
        <n v="34.840000000000003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19999999999999"/>
        <n v="94.85"/>
        <n v="388.22"/>
        <n v="614.15"/>
        <n v="92.91"/>
        <n v="92.22"/>
        <n v="562.54999999999995"/>
        <n v="92.79"/>
        <n v="30.27"/>
        <n v="49.08"/>
        <n v="228.09"/>
        <n v="650.04"/>
        <n v="665.11"/>
        <n v="386.03"/>
        <n v="21.54"/>
        <n v="475.78"/>
        <n v="68.400000000000006"/>
        <n v="532.49"/>
        <n v="51.73"/>
        <n v="653.63"/>
        <n v="454.29"/>
        <n v="122.11"/>
        <n v="64.739999999999995"/>
        <n v="681.06"/>
        <n v="128.94999999999999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000000000001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59999999999994"/>
        <n v="569.96"/>
        <n v="627.42999999999995"/>
        <n v="534.91"/>
        <n v="278.88"/>
        <n v="323.22000000000003"/>
        <n v="653.46"/>
        <n v="678.55"/>
        <n v="314.38"/>
        <n v="692.44"/>
        <n v="604.87"/>
        <n v="512.33000000000004"/>
        <n v="20.54"/>
        <n v="625.22"/>
        <n v="21.19"/>
        <n v="64.489999999999995"/>
        <n v="246.85"/>
        <n v="588.74"/>
        <n v="184.48"/>
        <n v="524.26"/>
        <n v="493.63"/>
        <n v="438.34"/>
        <n v="325.81"/>
        <n v="176.1"/>
        <n v="45.31"/>
        <n v="221.96"/>
        <n v="601.42999999999995"/>
        <n v="691.28"/>
        <n v="417.89"/>
        <n v="409.28"/>
        <n v="356.35"/>
        <n v="170.22"/>
        <n v="384.85"/>
        <n v="115.77"/>
        <n v="579.5499999999999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000000000001"/>
        <n v="217.43"/>
        <n v="553.55999999999995"/>
        <n v="28.55"/>
        <n v="255.26"/>
        <n v="292.54000000000002"/>
        <n v="147.51"/>
        <n v="569.84"/>
        <n v="574.79"/>
        <n v="598.19000000000005"/>
        <n v="390.84"/>
        <n v="398.45"/>
        <n v="623.80999999999995"/>
        <n v="174.49"/>
        <n v="479.56"/>
        <n v="653.13"/>
        <n v="481.1"/>
        <n v="271.69"/>
        <n v="463.81"/>
        <n v="639.88"/>
        <n v="404.58"/>
        <n v="76.930000000000007"/>
        <n v="190.64"/>
        <n v="88.73"/>
        <n v="485.71"/>
        <n v="78.290000000000006"/>
        <n v="22.14"/>
        <n v="679.65"/>
        <n v="178.44"/>
        <n v="655.55"/>
        <n v="577.08000000000004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4999999999995"/>
        <n v="490.01"/>
        <n v="372.6"/>
        <n v="240.61"/>
        <n v="586.62"/>
        <n v="257.83999999999997"/>
        <n v="435.66"/>
        <n v="261.33"/>
        <n v="422.54"/>
        <n v="330.45"/>
        <n v="120.82"/>
        <n v="14.06"/>
        <n v="491.11"/>
        <n v="677.37"/>
        <n v="189.25"/>
        <n v="142.58000000000001"/>
        <n v="316.32"/>
        <n v="533.95000000000005"/>
        <n v="470.09"/>
        <n v="324.3"/>
        <n v="488.9"/>
        <n v="133.38999999999999"/>
        <n v="608.91"/>
        <n v="524.05999999999995"/>
        <n v="330.69"/>
        <n v="547.66999999999996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3999999999999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000000000002"/>
        <n v="308.98"/>
        <n v="396.86"/>
        <n v="139.69"/>
        <n v="475.95"/>
        <n v="626.6"/>
        <n v="502.99"/>
        <n v="578.83000000000004"/>
        <n v="383.82"/>
        <n v="368.25"/>
        <n v="374.6"/>
        <n v="428.09"/>
        <n v="438.93"/>
        <n v="563.82000000000005"/>
        <n v="649.92999999999995"/>
        <n v="268.43"/>
        <n v="502.47"/>
        <n v="26.95"/>
        <n v="64.69"/>
        <n v="247.11"/>
        <n v="536.25"/>
        <n v="456.04"/>
        <n v="40.229999999999997"/>
        <n v="72.39"/>
        <n v="394.16"/>
        <n v="119.84"/>
        <n v="692.71"/>
        <n v="56.66"/>
        <n v="298.52999999999997"/>
        <n v="331.46"/>
        <n v="521.4"/>
        <n v="305.32"/>
        <n v="111.7"/>
        <n v="479.76"/>
        <n v="193.49"/>
        <n v="426.22"/>
        <n v="276.44"/>
        <n v="404.96"/>
        <n v="465.66"/>
        <n v="594.07000000000005"/>
        <n v="110.38"/>
        <n v="596.24"/>
        <n v="306.24"/>
        <n v="503.39"/>
        <n v="131.61000000000001"/>
        <n v="443.44"/>
        <n v="408.13"/>
        <n v="160.97999999999999"/>
        <n v="643.89"/>
        <n v="158.66"/>
        <n v="143.82"/>
        <n v="379.07"/>
        <n v="601.36"/>
        <n v="142.08000000000001"/>
        <n v="530.34"/>
        <n v="364.42"/>
        <n v="578.28"/>
        <n v="280.52"/>
        <n v="638.91999999999996"/>
        <n v="412.2"/>
        <n v="440.34"/>
        <n v="627.15"/>
        <n v="605.26"/>
        <n v="90.27"/>
        <n v="230.77"/>
        <n v="266.77999999999997"/>
        <n v="105.92"/>
        <n v="589.29999999999995"/>
        <n v="649.47"/>
        <n v="107.49"/>
        <n v="669.06"/>
        <n v="69.650000000000006"/>
        <n v="136.83000000000001"/>
        <n v="304.11"/>
        <n v="296.27999999999997"/>
        <n v="77.64"/>
        <n v="243.71"/>
        <n v="644.96"/>
        <n v="283.73"/>
        <n v="629.55999999999995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000000000003"/>
        <n v="246.91"/>
        <n v="392.85"/>
        <n v="420.98"/>
        <n v="73.260000000000005"/>
        <n v="410.88"/>
        <n v="176.46"/>
        <n v="659.57"/>
        <n v="478.36"/>
        <n v="30.05"/>
        <n v="300.56"/>
        <n v="226.45"/>
        <n v="349.4"/>
        <n v="268.77999999999997"/>
        <n v="680.85"/>
        <n v="182.48"/>
        <n v="277.08999999999997"/>
        <n v="26.5"/>
        <n v="315.27"/>
        <n v="450.98"/>
        <n v="233.67"/>
        <n v="367.75"/>
        <n v="23.53"/>
        <n v="677.48"/>
        <n v="554.83000000000004"/>
        <n v="440.31"/>
        <n v="87.06"/>
        <n v="245.28"/>
        <n v="664.51"/>
        <n v="618.67999999999995"/>
        <n v="370.85"/>
        <n v="517.98"/>
        <n v="506.11"/>
        <n v="413.83"/>
        <n v="249.81"/>
        <n v="362.53"/>
        <n v="299.23"/>
        <n v="536.07000000000005"/>
        <n v="558.9"/>
        <n v="409.75"/>
        <n v="179.96"/>
        <n v="38.49"/>
        <n v="316.39999999999998"/>
        <n v="547.15"/>
        <n v="540.34"/>
        <n v="73.650000000000006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69999999999999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000000000003"/>
        <n v="41.09"/>
        <n v="634"/>
        <n v="464.74"/>
        <n v="425.6"/>
        <n v="573.22"/>
        <n v="123.28"/>
        <n v="70.819999999999993"/>
        <n v="646.69000000000005"/>
        <n v="513.41999999999996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000000000005"/>
        <n v="77.47"/>
        <n v="84.31"/>
        <n v="234.45"/>
        <n v="356.81"/>
        <n v="209.99"/>
        <n v="659.88"/>
        <n v="336.32"/>
        <n v="531.49"/>
        <n v="588.44000000000005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000000000003"/>
        <n v="501.82"/>
        <n v="552.83000000000004"/>
        <n v="498.66"/>
        <n v="695.1"/>
        <n v="381.61"/>
        <n v="507.94"/>
        <n v="571.53"/>
        <n v="421.44"/>
        <n v="588.29999999999995"/>
        <n v="355.15"/>
        <n v="695.29"/>
        <n v="302.64999999999998"/>
        <n v="608.04"/>
        <n v="344.18"/>
        <n v="696.71"/>
        <n v="198.63"/>
        <n v="534.57000000000005"/>
        <n v="690.78"/>
        <n v="301.55"/>
        <n v="27.42"/>
        <n v="466.7"/>
        <n v="541.64"/>
        <n v="11.39"/>
        <n v="224.37"/>
        <n v="306.29000000000002"/>
        <n v="315.57"/>
        <n v="223.79"/>
        <n v="324.47000000000003"/>
        <n v="92.87"/>
        <n v="331.42"/>
        <n v="525.42999999999995"/>
        <n v="697.19"/>
        <n v="518.4"/>
        <n v="131.96"/>
        <n v="208.36"/>
        <n v="222.34"/>
        <n v="91.74"/>
        <n v="213.83"/>
        <n v="127.55"/>
        <n v="70.239999999999995"/>
        <n v="518.5499999999999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000000000004"/>
      </sharedItems>
    </cacheField>
    <cacheField name="ShippingAddress" numFmtId="0">
      <sharedItems count="655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 count="10">
        <n v="7"/>
        <n v="3"/>
        <n v="8"/>
        <n v="5"/>
        <n v="4"/>
        <n v="6"/>
        <n v="9"/>
        <n v="2"/>
        <n v="10"/>
        <n v="1"/>
      </sharedItems>
    </cacheField>
    <cacheField name="CouponCode" numFmtId="0">
      <sharedItems count="4">
        <s v="SAVE10"/>
        <s v="FREESHIP"/>
        <s v="NO_COUPON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</sharedItems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x v="0"/>
    <x v="0"/>
    <x v="0"/>
    <x v="0"/>
    <x v="0"/>
    <s v="TRK37947903"/>
    <x v="0"/>
    <x v="0"/>
    <x v="0"/>
    <x v="0"/>
  </r>
  <r>
    <s v="ORD200001"/>
    <x v="1"/>
    <s v="C75739"/>
    <x v="1"/>
    <x v="1"/>
    <x v="1"/>
    <x v="1"/>
    <x v="1"/>
    <x v="0"/>
    <s v="TRK91186779"/>
    <x v="1"/>
    <x v="0"/>
    <x v="1"/>
    <x v="1"/>
  </r>
  <r>
    <s v="ORD200002"/>
    <x v="2"/>
    <s v="C81728"/>
    <x v="2"/>
    <x v="0"/>
    <x v="2"/>
    <x v="2"/>
    <x v="2"/>
    <x v="1"/>
    <s v="TRK42903982"/>
    <x v="2"/>
    <x v="1"/>
    <x v="2"/>
    <x v="2"/>
  </r>
  <r>
    <s v="ORD200003"/>
    <x v="3"/>
    <s v="C33540"/>
    <x v="3"/>
    <x v="2"/>
    <x v="3"/>
    <x v="3"/>
    <x v="0"/>
    <x v="2"/>
    <s v="TRK62788070"/>
    <x v="3"/>
    <x v="0"/>
    <x v="3"/>
    <x v="3"/>
  </r>
  <r>
    <s v="ORD200004"/>
    <x v="4"/>
    <s v="C81840"/>
    <x v="4"/>
    <x v="3"/>
    <x v="4"/>
    <x v="4"/>
    <x v="1"/>
    <x v="3"/>
    <s v="TRK29241424"/>
    <x v="2"/>
    <x v="0"/>
    <x v="2"/>
    <x v="4"/>
  </r>
  <r>
    <s v="ORD200005"/>
    <x v="5"/>
    <s v="C37249"/>
    <x v="1"/>
    <x v="1"/>
    <x v="5"/>
    <x v="5"/>
    <x v="2"/>
    <x v="0"/>
    <s v="TRK72976927"/>
    <x v="4"/>
    <x v="0"/>
    <x v="0"/>
    <x v="5"/>
  </r>
  <r>
    <s v="ORD200006"/>
    <x v="6"/>
    <s v="C83492"/>
    <x v="5"/>
    <x v="2"/>
    <x v="6"/>
    <x v="6"/>
    <x v="3"/>
    <x v="2"/>
    <s v="TRK96417362"/>
    <x v="5"/>
    <x v="0"/>
    <x v="3"/>
    <x v="6"/>
  </r>
  <r>
    <s v="ORD200007"/>
    <x v="7"/>
    <s v="C41460"/>
    <x v="0"/>
    <x v="0"/>
    <x v="7"/>
    <x v="7"/>
    <x v="4"/>
    <x v="0"/>
    <s v="TRK78809193"/>
    <x v="6"/>
    <x v="1"/>
    <x v="3"/>
    <x v="7"/>
  </r>
  <r>
    <s v="ORD200008"/>
    <x v="8"/>
    <s v="C26817"/>
    <x v="1"/>
    <x v="1"/>
    <x v="8"/>
    <x v="8"/>
    <x v="3"/>
    <x v="1"/>
    <s v="TRK61042692"/>
    <x v="7"/>
    <x v="2"/>
    <x v="2"/>
    <x v="8"/>
  </r>
  <r>
    <s v="ORD200009"/>
    <x v="9"/>
    <s v="C31946"/>
    <x v="6"/>
    <x v="3"/>
    <x v="9"/>
    <x v="9"/>
    <x v="2"/>
    <x v="0"/>
    <s v="TRK33478363"/>
    <x v="5"/>
    <x v="0"/>
    <x v="4"/>
    <x v="9"/>
  </r>
  <r>
    <s v="ORD200010"/>
    <x v="10"/>
    <s v="C43443"/>
    <x v="2"/>
    <x v="0"/>
    <x v="10"/>
    <x v="10"/>
    <x v="2"/>
    <x v="2"/>
    <s v="TRK98859248"/>
    <x v="6"/>
    <x v="3"/>
    <x v="0"/>
    <x v="10"/>
  </r>
  <r>
    <s v="ORD200011"/>
    <x v="11"/>
    <s v="C93861"/>
    <x v="0"/>
    <x v="4"/>
    <x v="11"/>
    <x v="11"/>
    <x v="1"/>
    <x v="2"/>
    <s v="TRK48234646"/>
    <x v="0"/>
    <x v="0"/>
    <x v="2"/>
    <x v="11"/>
  </r>
  <r>
    <s v="ORD200012"/>
    <x v="12"/>
    <s v="C38785"/>
    <x v="0"/>
    <x v="1"/>
    <x v="12"/>
    <x v="12"/>
    <x v="0"/>
    <x v="4"/>
    <s v="TRK20419991"/>
    <x v="5"/>
    <x v="1"/>
    <x v="1"/>
    <x v="12"/>
  </r>
  <r>
    <s v="ORD200013"/>
    <x v="13"/>
    <s v="C88348"/>
    <x v="5"/>
    <x v="4"/>
    <x v="13"/>
    <x v="13"/>
    <x v="2"/>
    <x v="2"/>
    <s v="TRK81913874"/>
    <x v="4"/>
    <x v="1"/>
    <x v="3"/>
    <x v="13"/>
  </r>
  <r>
    <s v="ORD200014"/>
    <x v="14"/>
    <s v="C98474"/>
    <x v="2"/>
    <x v="1"/>
    <x v="14"/>
    <x v="14"/>
    <x v="0"/>
    <x v="4"/>
    <s v="TRK79186539"/>
    <x v="1"/>
    <x v="0"/>
    <x v="0"/>
    <x v="14"/>
  </r>
  <r>
    <s v="ORD200015"/>
    <x v="15"/>
    <s v="C39416"/>
    <x v="4"/>
    <x v="2"/>
    <x v="15"/>
    <x v="15"/>
    <x v="4"/>
    <x v="3"/>
    <s v="TRK54930938"/>
    <x v="1"/>
    <x v="2"/>
    <x v="4"/>
    <x v="15"/>
  </r>
  <r>
    <s v="ORD200016"/>
    <x v="16"/>
    <s v="C28976"/>
    <x v="4"/>
    <x v="1"/>
    <x v="16"/>
    <x v="16"/>
    <x v="2"/>
    <x v="4"/>
    <s v="TRK13194259"/>
    <x v="1"/>
    <x v="1"/>
    <x v="2"/>
    <x v="16"/>
  </r>
  <r>
    <s v="ORD200017"/>
    <x v="17"/>
    <s v="C60672"/>
    <x v="2"/>
    <x v="2"/>
    <x v="17"/>
    <x v="17"/>
    <x v="0"/>
    <x v="0"/>
    <s v="TRK11972116"/>
    <x v="1"/>
    <x v="2"/>
    <x v="1"/>
    <x v="17"/>
  </r>
  <r>
    <s v="ORD200018"/>
    <x v="18"/>
    <s v="C84329"/>
    <x v="6"/>
    <x v="2"/>
    <x v="18"/>
    <x v="18"/>
    <x v="3"/>
    <x v="4"/>
    <s v="TRK65191045"/>
    <x v="1"/>
    <x v="0"/>
    <x v="3"/>
    <x v="18"/>
  </r>
  <r>
    <s v="ORD200019"/>
    <x v="19"/>
    <s v="C14552"/>
    <x v="0"/>
    <x v="0"/>
    <x v="19"/>
    <x v="19"/>
    <x v="4"/>
    <x v="2"/>
    <s v="TRK59101365"/>
    <x v="6"/>
    <x v="0"/>
    <x v="4"/>
    <x v="19"/>
  </r>
  <r>
    <s v="ORD200020"/>
    <x v="20"/>
    <s v="C54829"/>
    <x v="3"/>
    <x v="0"/>
    <x v="20"/>
    <x v="20"/>
    <x v="4"/>
    <x v="4"/>
    <s v="TRK16718651"/>
    <x v="6"/>
    <x v="3"/>
    <x v="0"/>
    <x v="20"/>
  </r>
  <r>
    <s v="ORD200021"/>
    <x v="21"/>
    <s v="C99023"/>
    <x v="0"/>
    <x v="3"/>
    <x v="21"/>
    <x v="21"/>
    <x v="4"/>
    <x v="3"/>
    <s v="TRK52646983"/>
    <x v="5"/>
    <x v="2"/>
    <x v="4"/>
    <x v="21"/>
  </r>
  <r>
    <s v="ORD200022"/>
    <x v="22"/>
    <s v="C34416"/>
    <x v="0"/>
    <x v="1"/>
    <x v="22"/>
    <x v="22"/>
    <x v="1"/>
    <x v="4"/>
    <s v="TRK75937350"/>
    <x v="7"/>
    <x v="0"/>
    <x v="4"/>
    <x v="22"/>
  </r>
  <r>
    <s v="ORD200023"/>
    <x v="23"/>
    <s v="C42372"/>
    <x v="1"/>
    <x v="3"/>
    <x v="23"/>
    <x v="23"/>
    <x v="0"/>
    <x v="1"/>
    <s v="TRK36168083"/>
    <x v="3"/>
    <x v="1"/>
    <x v="1"/>
    <x v="23"/>
  </r>
  <r>
    <s v="ORD200024"/>
    <x v="24"/>
    <s v="C17470"/>
    <x v="5"/>
    <x v="1"/>
    <x v="24"/>
    <x v="24"/>
    <x v="1"/>
    <x v="3"/>
    <s v="TRK28775057"/>
    <x v="1"/>
    <x v="3"/>
    <x v="1"/>
    <x v="24"/>
  </r>
  <r>
    <s v="ORD200025"/>
    <x v="25"/>
    <s v="C42577"/>
    <x v="0"/>
    <x v="2"/>
    <x v="25"/>
    <x v="25"/>
    <x v="0"/>
    <x v="3"/>
    <s v="TRK69423327"/>
    <x v="1"/>
    <x v="3"/>
    <x v="2"/>
    <x v="25"/>
  </r>
  <r>
    <s v="ORD200026"/>
    <x v="26"/>
    <s v="C21944"/>
    <x v="5"/>
    <x v="0"/>
    <x v="26"/>
    <x v="26"/>
    <x v="1"/>
    <x v="3"/>
    <s v="TRK80276812"/>
    <x v="5"/>
    <x v="2"/>
    <x v="1"/>
    <x v="26"/>
  </r>
  <r>
    <s v="ORD200027"/>
    <x v="27"/>
    <s v="C97593"/>
    <x v="4"/>
    <x v="2"/>
    <x v="27"/>
    <x v="27"/>
    <x v="1"/>
    <x v="0"/>
    <s v="TRK89117573"/>
    <x v="5"/>
    <x v="3"/>
    <x v="4"/>
    <x v="27"/>
  </r>
  <r>
    <s v="ORD200028"/>
    <x v="9"/>
    <s v="C59823"/>
    <x v="1"/>
    <x v="3"/>
    <x v="28"/>
    <x v="28"/>
    <x v="1"/>
    <x v="4"/>
    <s v="TRK65895539"/>
    <x v="3"/>
    <x v="2"/>
    <x v="2"/>
    <x v="28"/>
  </r>
  <r>
    <s v="ORD200029"/>
    <x v="28"/>
    <s v="C33260"/>
    <x v="6"/>
    <x v="4"/>
    <x v="29"/>
    <x v="29"/>
    <x v="2"/>
    <x v="3"/>
    <s v="TRK59744090"/>
    <x v="5"/>
    <x v="0"/>
    <x v="1"/>
    <x v="29"/>
  </r>
  <r>
    <s v="ORD200030"/>
    <x v="29"/>
    <s v="C44267"/>
    <x v="0"/>
    <x v="1"/>
    <x v="30"/>
    <x v="30"/>
    <x v="1"/>
    <x v="4"/>
    <s v="TRK54751444"/>
    <x v="3"/>
    <x v="0"/>
    <x v="1"/>
    <x v="30"/>
  </r>
  <r>
    <s v="ORD200031"/>
    <x v="30"/>
    <s v="C26445"/>
    <x v="3"/>
    <x v="4"/>
    <x v="31"/>
    <x v="31"/>
    <x v="0"/>
    <x v="2"/>
    <s v="TRK31229981"/>
    <x v="5"/>
    <x v="2"/>
    <x v="3"/>
    <x v="31"/>
  </r>
  <r>
    <s v="ORD200032"/>
    <x v="31"/>
    <s v="C12388"/>
    <x v="2"/>
    <x v="0"/>
    <x v="32"/>
    <x v="32"/>
    <x v="4"/>
    <x v="3"/>
    <s v="TRK99261395"/>
    <x v="8"/>
    <x v="2"/>
    <x v="2"/>
    <x v="32"/>
  </r>
  <r>
    <s v="ORD200033"/>
    <x v="32"/>
    <s v="C52184"/>
    <x v="3"/>
    <x v="2"/>
    <x v="33"/>
    <x v="33"/>
    <x v="1"/>
    <x v="1"/>
    <s v="TRK73312471"/>
    <x v="4"/>
    <x v="3"/>
    <x v="3"/>
    <x v="33"/>
  </r>
  <r>
    <s v="ORD200034"/>
    <x v="33"/>
    <s v="C67195"/>
    <x v="3"/>
    <x v="3"/>
    <x v="34"/>
    <x v="34"/>
    <x v="2"/>
    <x v="4"/>
    <s v="TRK55467915"/>
    <x v="3"/>
    <x v="3"/>
    <x v="3"/>
    <x v="34"/>
  </r>
  <r>
    <s v="ORD200035"/>
    <x v="34"/>
    <s v="C50304"/>
    <x v="0"/>
    <x v="1"/>
    <x v="35"/>
    <x v="35"/>
    <x v="1"/>
    <x v="0"/>
    <s v="TRK46850888"/>
    <x v="7"/>
    <x v="0"/>
    <x v="3"/>
    <x v="35"/>
  </r>
  <r>
    <s v="ORD200036"/>
    <x v="4"/>
    <s v="C59337"/>
    <x v="5"/>
    <x v="1"/>
    <x v="36"/>
    <x v="36"/>
    <x v="0"/>
    <x v="4"/>
    <s v="TRK50961250"/>
    <x v="3"/>
    <x v="2"/>
    <x v="3"/>
    <x v="36"/>
  </r>
  <r>
    <s v="ORD200037"/>
    <x v="35"/>
    <s v="C10054"/>
    <x v="5"/>
    <x v="1"/>
    <x v="37"/>
    <x v="37"/>
    <x v="4"/>
    <x v="2"/>
    <s v="TRK94005261"/>
    <x v="0"/>
    <x v="0"/>
    <x v="0"/>
    <x v="37"/>
  </r>
  <r>
    <s v="ORD200038"/>
    <x v="36"/>
    <s v="C15924"/>
    <x v="5"/>
    <x v="2"/>
    <x v="38"/>
    <x v="38"/>
    <x v="0"/>
    <x v="3"/>
    <s v="TRK14835975"/>
    <x v="1"/>
    <x v="0"/>
    <x v="4"/>
    <x v="38"/>
  </r>
  <r>
    <s v="ORD200039"/>
    <x v="37"/>
    <s v="C96664"/>
    <x v="4"/>
    <x v="4"/>
    <x v="39"/>
    <x v="39"/>
    <x v="2"/>
    <x v="3"/>
    <s v="TRK85508960"/>
    <x v="4"/>
    <x v="0"/>
    <x v="1"/>
    <x v="39"/>
  </r>
  <r>
    <s v="ORD200040"/>
    <x v="38"/>
    <s v="C84766"/>
    <x v="6"/>
    <x v="1"/>
    <x v="40"/>
    <x v="40"/>
    <x v="1"/>
    <x v="3"/>
    <s v="TRK78967923"/>
    <x v="4"/>
    <x v="1"/>
    <x v="0"/>
    <x v="40"/>
  </r>
  <r>
    <s v="ORD200041"/>
    <x v="39"/>
    <s v="C20212"/>
    <x v="0"/>
    <x v="4"/>
    <x v="41"/>
    <x v="41"/>
    <x v="3"/>
    <x v="4"/>
    <s v="TRK69733327"/>
    <x v="4"/>
    <x v="1"/>
    <x v="0"/>
    <x v="41"/>
  </r>
  <r>
    <s v="ORD200042"/>
    <x v="40"/>
    <s v="C28712"/>
    <x v="4"/>
    <x v="1"/>
    <x v="42"/>
    <x v="14"/>
    <x v="4"/>
    <x v="1"/>
    <s v="TRK40772558"/>
    <x v="5"/>
    <x v="2"/>
    <x v="0"/>
    <x v="42"/>
  </r>
  <r>
    <s v="ORD200043"/>
    <x v="41"/>
    <s v="C60572"/>
    <x v="3"/>
    <x v="4"/>
    <x v="43"/>
    <x v="42"/>
    <x v="1"/>
    <x v="1"/>
    <s v="TRK20351666"/>
    <x v="2"/>
    <x v="2"/>
    <x v="0"/>
    <x v="43"/>
  </r>
  <r>
    <s v="ORD200044"/>
    <x v="42"/>
    <s v="C73225"/>
    <x v="1"/>
    <x v="1"/>
    <x v="44"/>
    <x v="31"/>
    <x v="3"/>
    <x v="2"/>
    <s v="TRK73848522"/>
    <x v="1"/>
    <x v="1"/>
    <x v="1"/>
    <x v="44"/>
  </r>
  <r>
    <s v="ORD200045"/>
    <x v="43"/>
    <s v="C17388"/>
    <x v="3"/>
    <x v="2"/>
    <x v="45"/>
    <x v="43"/>
    <x v="0"/>
    <x v="2"/>
    <s v="TRK47077395"/>
    <x v="9"/>
    <x v="0"/>
    <x v="3"/>
    <x v="45"/>
  </r>
  <r>
    <s v="ORD200046"/>
    <x v="44"/>
    <s v="C43212"/>
    <x v="0"/>
    <x v="3"/>
    <x v="46"/>
    <x v="44"/>
    <x v="0"/>
    <x v="4"/>
    <s v="TRK25100762"/>
    <x v="4"/>
    <x v="1"/>
    <x v="0"/>
    <x v="46"/>
  </r>
  <r>
    <s v="ORD200047"/>
    <x v="45"/>
    <s v="C38134"/>
    <x v="6"/>
    <x v="1"/>
    <x v="47"/>
    <x v="45"/>
    <x v="2"/>
    <x v="2"/>
    <s v="TRK42450754"/>
    <x v="1"/>
    <x v="1"/>
    <x v="2"/>
    <x v="47"/>
  </r>
  <r>
    <s v="ORD200048"/>
    <x v="46"/>
    <s v="C12408"/>
    <x v="0"/>
    <x v="1"/>
    <x v="48"/>
    <x v="46"/>
    <x v="0"/>
    <x v="0"/>
    <s v="TRK38938858"/>
    <x v="4"/>
    <x v="2"/>
    <x v="4"/>
    <x v="48"/>
  </r>
  <r>
    <s v="ORD200049"/>
    <x v="47"/>
    <s v="C11985"/>
    <x v="4"/>
    <x v="2"/>
    <x v="49"/>
    <x v="22"/>
    <x v="2"/>
    <x v="0"/>
    <s v="TRK53272402"/>
    <x v="9"/>
    <x v="0"/>
    <x v="2"/>
    <x v="49"/>
  </r>
  <r>
    <s v="ORD200050"/>
    <x v="48"/>
    <s v="C96494"/>
    <x v="2"/>
    <x v="2"/>
    <x v="50"/>
    <x v="47"/>
    <x v="1"/>
    <x v="1"/>
    <s v="TRK14675049"/>
    <x v="5"/>
    <x v="1"/>
    <x v="0"/>
    <x v="50"/>
  </r>
  <r>
    <s v="ORD200051"/>
    <x v="49"/>
    <s v="C36778"/>
    <x v="2"/>
    <x v="2"/>
    <x v="51"/>
    <x v="48"/>
    <x v="4"/>
    <x v="2"/>
    <s v="TRK67610289"/>
    <x v="7"/>
    <x v="0"/>
    <x v="3"/>
    <x v="51"/>
  </r>
  <r>
    <s v="ORD200052"/>
    <x v="50"/>
    <s v="C30513"/>
    <x v="2"/>
    <x v="2"/>
    <x v="52"/>
    <x v="49"/>
    <x v="1"/>
    <x v="2"/>
    <s v="TRK64320429"/>
    <x v="3"/>
    <x v="0"/>
    <x v="3"/>
    <x v="52"/>
  </r>
  <r>
    <s v="ORD200053"/>
    <x v="51"/>
    <s v="C67551"/>
    <x v="1"/>
    <x v="3"/>
    <x v="53"/>
    <x v="2"/>
    <x v="1"/>
    <x v="2"/>
    <s v="TRK94992552"/>
    <x v="3"/>
    <x v="1"/>
    <x v="4"/>
    <x v="53"/>
  </r>
  <r>
    <s v="ORD200054"/>
    <x v="52"/>
    <s v="C48120"/>
    <x v="3"/>
    <x v="2"/>
    <x v="54"/>
    <x v="50"/>
    <x v="1"/>
    <x v="4"/>
    <s v="TRK11014449"/>
    <x v="3"/>
    <x v="3"/>
    <x v="2"/>
    <x v="54"/>
  </r>
  <r>
    <s v="ORD200055"/>
    <x v="53"/>
    <s v="C95984"/>
    <x v="4"/>
    <x v="4"/>
    <x v="55"/>
    <x v="51"/>
    <x v="1"/>
    <x v="1"/>
    <s v="TRK67434829"/>
    <x v="1"/>
    <x v="2"/>
    <x v="3"/>
    <x v="55"/>
  </r>
  <r>
    <s v="ORD200056"/>
    <x v="54"/>
    <s v="C54298"/>
    <x v="2"/>
    <x v="4"/>
    <x v="56"/>
    <x v="52"/>
    <x v="4"/>
    <x v="1"/>
    <s v="TRK62902341"/>
    <x v="3"/>
    <x v="3"/>
    <x v="1"/>
    <x v="56"/>
  </r>
  <r>
    <s v="ORD200057"/>
    <x v="55"/>
    <s v="C88036"/>
    <x v="4"/>
    <x v="0"/>
    <x v="57"/>
    <x v="53"/>
    <x v="4"/>
    <x v="2"/>
    <s v="TRK52470128"/>
    <x v="5"/>
    <x v="0"/>
    <x v="0"/>
    <x v="57"/>
  </r>
  <r>
    <s v="ORD200058"/>
    <x v="56"/>
    <s v="C60190"/>
    <x v="1"/>
    <x v="3"/>
    <x v="58"/>
    <x v="54"/>
    <x v="3"/>
    <x v="1"/>
    <s v="TRK70857868"/>
    <x v="5"/>
    <x v="0"/>
    <x v="4"/>
    <x v="58"/>
  </r>
  <r>
    <s v="ORD200059"/>
    <x v="57"/>
    <s v="C97603"/>
    <x v="3"/>
    <x v="3"/>
    <x v="59"/>
    <x v="55"/>
    <x v="1"/>
    <x v="0"/>
    <s v="TRK47055028"/>
    <x v="3"/>
    <x v="2"/>
    <x v="3"/>
    <x v="59"/>
  </r>
  <r>
    <s v="ORD200060"/>
    <x v="58"/>
    <s v="C39256"/>
    <x v="6"/>
    <x v="2"/>
    <x v="60"/>
    <x v="56"/>
    <x v="0"/>
    <x v="2"/>
    <s v="TRK23412025"/>
    <x v="1"/>
    <x v="1"/>
    <x v="1"/>
    <x v="60"/>
  </r>
  <r>
    <s v="ORD200061"/>
    <x v="59"/>
    <s v="C61618"/>
    <x v="6"/>
    <x v="3"/>
    <x v="61"/>
    <x v="57"/>
    <x v="4"/>
    <x v="3"/>
    <s v="TRK43458485"/>
    <x v="0"/>
    <x v="1"/>
    <x v="3"/>
    <x v="61"/>
  </r>
  <r>
    <s v="ORD200062"/>
    <x v="60"/>
    <s v="C36497"/>
    <x v="6"/>
    <x v="1"/>
    <x v="62"/>
    <x v="58"/>
    <x v="0"/>
    <x v="4"/>
    <s v="TRK12102911"/>
    <x v="1"/>
    <x v="3"/>
    <x v="2"/>
    <x v="62"/>
  </r>
  <r>
    <s v="ORD200063"/>
    <x v="61"/>
    <s v="C96695"/>
    <x v="3"/>
    <x v="2"/>
    <x v="63"/>
    <x v="59"/>
    <x v="0"/>
    <x v="0"/>
    <s v="TRK64283851"/>
    <x v="5"/>
    <x v="3"/>
    <x v="1"/>
    <x v="63"/>
  </r>
  <r>
    <s v="ORD200064"/>
    <x v="62"/>
    <s v="C49720"/>
    <x v="4"/>
    <x v="4"/>
    <x v="64"/>
    <x v="60"/>
    <x v="0"/>
    <x v="1"/>
    <s v="TRK55785217"/>
    <x v="4"/>
    <x v="1"/>
    <x v="3"/>
    <x v="64"/>
  </r>
  <r>
    <s v="ORD200065"/>
    <x v="63"/>
    <s v="C97735"/>
    <x v="0"/>
    <x v="0"/>
    <x v="65"/>
    <x v="61"/>
    <x v="2"/>
    <x v="3"/>
    <s v="TRK13743703"/>
    <x v="5"/>
    <x v="2"/>
    <x v="0"/>
    <x v="65"/>
  </r>
  <r>
    <s v="ORD200066"/>
    <x v="64"/>
    <s v="C18104"/>
    <x v="3"/>
    <x v="0"/>
    <x v="66"/>
    <x v="62"/>
    <x v="4"/>
    <x v="1"/>
    <s v="TRK15488568"/>
    <x v="6"/>
    <x v="0"/>
    <x v="1"/>
    <x v="66"/>
  </r>
  <r>
    <s v="ORD200067"/>
    <x v="65"/>
    <s v="C25587"/>
    <x v="4"/>
    <x v="3"/>
    <x v="67"/>
    <x v="63"/>
    <x v="0"/>
    <x v="1"/>
    <s v="TRK55105323"/>
    <x v="2"/>
    <x v="2"/>
    <x v="4"/>
    <x v="67"/>
  </r>
  <r>
    <s v="ORD200068"/>
    <x v="66"/>
    <s v="C41598"/>
    <x v="3"/>
    <x v="4"/>
    <x v="68"/>
    <x v="25"/>
    <x v="2"/>
    <x v="4"/>
    <s v="TRK81665940"/>
    <x v="3"/>
    <x v="1"/>
    <x v="2"/>
    <x v="68"/>
  </r>
  <r>
    <s v="ORD200069"/>
    <x v="67"/>
    <s v="C43338"/>
    <x v="0"/>
    <x v="4"/>
    <x v="69"/>
    <x v="64"/>
    <x v="1"/>
    <x v="0"/>
    <s v="TRK35241775"/>
    <x v="4"/>
    <x v="2"/>
    <x v="1"/>
    <x v="69"/>
  </r>
  <r>
    <s v="ORD200070"/>
    <x v="68"/>
    <s v="C25123"/>
    <x v="6"/>
    <x v="2"/>
    <x v="70"/>
    <x v="65"/>
    <x v="3"/>
    <x v="4"/>
    <s v="TRK27812282"/>
    <x v="7"/>
    <x v="1"/>
    <x v="0"/>
    <x v="70"/>
  </r>
  <r>
    <s v="ORD200071"/>
    <x v="69"/>
    <s v="C37454"/>
    <x v="0"/>
    <x v="4"/>
    <x v="71"/>
    <x v="66"/>
    <x v="2"/>
    <x v="4"/>
    <s v="TRK28252730"/>
    <x v="4"/>
    <x v="2"/>
    <x v="1"/>
    <x v="71"/>
  </r>
  <r>
    <s v="ORD200072"/>
    <x v="70"/>
    <s v="C19451"/>
    <x v="2"/>
    <x v="3"/>
    <x v="72"/>
    <x v="15"/>
    <x v="3"/>
    <x v="2"/>
    <s v="TRK87787793"/>
    <x v="3"/>
    <x v="2"/>
    <x v="3"/>
    <x v="72"/>
  </r>
  <r>
    <s v="ORD200073"/>
    <x v="71"/>
    <s v="C17269"/>
    <x v="0"/>
    <x v="3"/>
    <x v="73"/>
    <x v="67"/>
    <x v="3"/>
    <x v="1"/>
    <s v="TRK79608389"/>
    <x v="4"/>
    <x v="2"/>
    <x v="3"/>
    <x v="73"/>
  </r>
  <r>
    <s v="ORD200074"/>
    <x v="72"/>
    <s v="C25382"/>
    <x v="1"/>
    <x v="0"/>
    <x v="74"/>
    <x v="68"/>
    <x v="4"/>
    <x v="4"/>
    <s v="TRK64691287"/>
    <x v="3"/>
    <x v="2"/>
    <x v="0"/>
    <x v="74"/>
  </r>
  <r>
    <s v="ORD200075"/>
    <x v="73"/>
    <s v="C80651"/>
    <x v="2"/>
    <x v="4"/>
    <x v="75"/>
    <x v="69"/>
    <x v="0"/>
    <x v="3"/>
    <s v="TRK14846720"/>
    <x v="3"/>
    <x v="0"/>
    <x v="2"/>
    <x v="75"/>
  </r>
  <r>
    <s v="ORD200076"/>
    <x v="74"/>
    <s v="C58638"/>
    <x v="5"/>
    <x v="3"/>
    <x v="76"/>
    <x v="70"/>
    <x v="4"/>
    <x v="1"/>
    <s v="TRK38224871"/>
    <x v="5"/>
    <x v="3"/>
    <x v="2"/>
    <x v="76"/>
  </r>
  <r>
    <s v="ORD200077"/>
    <x v="75"/>
    <s v="C50121"/>
    <x v="1"/>
    <x v="2"/>
    <x v="77"/>
    <x v="71"/>
    <x v="2"/>
    <x v="2"/>
    <s v="TRK79810059"/>
    <x v="3"/>
    <x v="2"/>
    <x v="4"/>
    <x v="77"/>
  </r>
  <r>
    <s v="ORD200078"/>
    <x v="76"/>
    <s v="C32029"/>
    <x v="4"/>
    <x v="3"/>
    <x v="78"/>
    <x v="72"/>
    <x v="0"/>
    <x v="3"/>
    <s v="TRK68535532"/>
    <x v="4"/>
    <x v="1"/>
    <x v="0"/>
    <x v="78"/>
  </r>
  <r>
    <s v="ORD200079"/>
    <x v="77"/>
    <s v="C76700"/>
    <x v="2"/>
    <x v="1"/>
    <x v="79"/>
    <x v="73"/>
    <x v="1"/>
    <x v="0"/>
    <s v="TRK13036341"/>
    <x v="7"/>
    <x v="2"/>
    <x v="3"/>
    <x v="79"/>
  </r>
  <r>
    <s v="ORD200080"/>
    <x v="78"/>
    <s v="C29041"/>
    <x v="1"/>
    <x v="4"/>
    <x v="80"/>
    <x v="74"/>
    <x v="1"/>
    <x v="2"/>
    <s v="TRK28840655"/>
    <x v="5"/>
    <x v="2"/>
    <x v="3"/>
    <x v="80"/>
  </r>
  <r>
    <s v="ORD200081"/>
    <x v="79"/>
    <s v="C29314"/>
    <x v="0"/>
    <x v="1"/>
    <x v="81"/>
    <x v="75"/>
    <x v="4"/>
    <x v="0"/>
    <s v="TRK59876213"/>
    <x v="5"/>
    <x v="1"/>
    <x v="2"/>
    <x v="81"/>
  </r>
  <r>
    <s v="ORD200082"/>
    <x v="80"/>
    <s v="C65799"/>
    <x v="2"/>
    <x v="3"/>
    <x v="82"/>
    <x v="76"/>
    <x v="0"/>
    <x v="0"/>
    <s v="TRK66906607"/>
    <x v="6"/>
    <x v="0"/>
    <x v="4"/>
    <x v="82"/>
  </r>
  <r>
    <s v="ORD200083"/>
    <x v="60"/>
    <s v="C15681"/>
    <x v="5"/>
    <x v="3"/>
    <x v="83"/>
    <x v="77"/>
    <x v="2"/>
    <x v="1"/>
    <s v="TRK75112172"/>
    <x v="5"/>
    <x v="2"/>
    <x v="1"/>
    <x v="83"/>
  </r>
  <r>
    <s v="ORD200084"/>
    <x v="81"/>
    <s v="C64160"/>
    <x v="0"/>
    <x v="1"/>
    <x v="84"/>
    <x v="78"/>
    <x v="1"/>
    <x v="0"/>
    <s v="TRK34121529"/>
    <x v="4"/>
    <x v="3"/>
    <x v="0"/>
    <x v="84"/>
  </r>
  <r>
    <s v="ORD200085"/>
    <x v="82"/>
    <s v="C14553"/>
    <x v="2"/>
    <x v="4"/>
    <x v="85"/>
    <x v="79"/>
    <x v="4"/>
    <x v="3"/>
    <s v="TRK93538334"/>
    <x v="2"/>
    <x v="1"/>
    <x v="2"/>
    <x v="85"/>
  </r>
  <r>
    <s v="ORD200086"/>
    <x v="83"/>
    <s v="C88205"/>
    <x v="4"/>
    <x v="0"/>
    <x v="86"/>
    <x v="80"/>
    <x v="1"/>
    <x v="1"/>
    <s v="TRK93504166"/>
    <x v="3"/>
    <x v="1"/>
    <x v="1"/>
    <x v="86"/>
  </r>
  <r>
    <s v="ORD200087"/>
    <x v="84"/>
    <s v="C91245"/>
    <x v="2"/>
    <x v="4"/>
    <x v="87"/>
    <x v="81"/>
    <x v="4"/>
    <x v="0"/>
    <s v="TRK46976391"/>
    <x v="4"/>
    <x v="0"/>
    <x v="3"/>
    <x v="87"/>
  </r>
  <r>
    <s v="ORD200088"/>
    <x v="85"/>
    <s v="C75439"/>
    <x v="6"/>
    <x v="4"/>
    <x v="88"/>
    <x v="82"/>
    <x v="3"/>
    <x v="1"/>
    <s v="TRK19831653"/>
    <x v="0"/>
    <x v="2"/>
    <x v="4"/>
    <x v="88"/>
  </r>
  <r>
    <s v="ORD200089"/>
    <x v="86"/>
    <s v="C17181"/>
    <x v="4"/>
    <x v="0"/>
    <x v="89"/>
    <x v="83"/>
    <x v="2"/>
    <x v="1"/>
    <s v="TRK78912978"/>
    <x v="2"/>
    <x v="1"/>
    <x v="4"/>
    <x v="89"/>
  </r>
  <r>
    <s v="ORD200090"/>
    <x v="87"/>
    <s v="C36540"/>
    <x v="3"/>
    <x v="3"/>
    <x v="90"/>
    <x v="84"/>
    <x v="3"/>
    <x v="3"/>
    <s v="TRK35828122"/>
    <x v="4"/>
    <x v="0"/>
    <x v="2"/>
    <x v="90"/>
  </r>
  <r>
    <s v="ORD200091"/>
    <x v="88"/>
    <s v="C98216"/>
    <x v="5"/>
    <x v="0"/>
    <x v="91"/>
    <x v="85"/>
    <x v="4"/>
    <x v="0"/>
    <s v="TRK40986666"/>
    <x v="5"/>
    <x v="3"/>
    <x v="1"/>
    <x v="91"/>
  </r>
  <r>
    <s v="ORD200092"/>
    <x v="89"/>
    <s v="C29568"/>
    <x v="4"/>
    <x v="3"/>
    <x v="92"/>
    <x v="86"/>
    <x v="1"/>
    <x v="0"/>
    <s v="TRK46531075"/>
    <x v="0"/>
    <x v="1"/>
    <x v="3"/>
    <x v="92"/>
  </r>
  <r>
    <s v="ORD200093"/>
    <x v="90"/>
    <s v="C97262"/>
    <x v="6"/>
    <x v="3"/>
    <x v="93"/>
    <x v="87"/>
    <x v="2"/>
    <x v="2"/>
    <s v="TRK65990229"/>
    <x v="0"/>
    <x v="2"/>
    <x v="1"/>
    <x v="93"/>
  </r>
  <r>
    <s v="ORD200094"/>
    <x v="91"/>
    <s v="C79821"/>
    <x v="3"/>
    <x v="2"/>
    <x v="94"/>
    <x v="88"/>
    <x v="3"/>
    <x v="2"/>
    <s v="TRK12780193"/>
    <x v="5"/>
    <x v="3"/>
    <x v="0"/>
    <x v="94"/>
  </r>
  <r>
    <s v="ORD200095"/>
    <x v="92"/>
    <s v="C76761"/>
    <x v="4"/>
    <x v="3"/>
    <x v="95"/>
    <x v="89"/>
    <x v="0"/>
    <x v="2"/>
    <s v="TRK60179774"/>
    <x v="0"/>
    <x v="2"/>
    <x v="1"/>
    <x v="95"/>
  </r>
  <r>
    <s v="ORD200096"/>
    <x v="93"/>
    <s v="C93007"/>
    <x v="1"/>
    <x v="1"/>
    <x v="96"/>
    <x v="73"/>
    <x v="3"/>
    <x v="3"/>
    <s v="TRK85696091"/>
    <x v="0"/>
    <x v="2"/>
    <x v="0"/>
    <x v="96"/>
  </r>
  <r>
    <s v="ORD200097"/>
    <x v="94"/>
    <s v="C15624"/>
    <x v="2"/>
    <x v="0"/>
    <x v="97"/>
    <x v="90"/>
    <x v="0"/>
    <x v="4"/>
    <s v="TRK40621141"/>
    <x v="6"/>
    <x v="2"/>
    <x v="2"/>
    <x v="97"/>
  </r>
  <r>
    <s v="ORD200098"/>
    <x v="90"/>
    <s v="C70921"/>
    <x v="4"/>
    <x v="1"/>
    <x v="98"/>
    <x v="91"/>
    <x v="0"/>
    <x v="4"/>
    <s v="TRK54983109"/>
    <x v="1"/>
    <x v="2"/>
    <x v="2"/>
    <x v="98"/>
  </r>
  <r>
    <s v="ORD200099"/>
    <x v="95"/>
    <s v="C30477"/>
    <x v="4"/>
    <x v="2"/>
    <x v="99"/>
    <x v="92"/>
    <x v="0"/>
    <x v="1"/>
    <s v="TRK51829648"/>
    <x v="7"/>
    <x v="3"/>
    <x v="2"/>
    <x v="99"/>
  </r>
  <r>
    <s v="ORD200100"/>
    <x v="96"/>
    <s v="C74866"/>
    <x v="1"/>
    <x v="4"/>
    <x v="100"/>
    <x v="93"/>
    <x v="1"/>
    <x v="3"/>
    <s v="TRK53783265"/>
    <x v="5"/>
    <x v="2"/>
    <x v="3"/>
    <x v="100"/>
  </r>
  <r>
    <s v="ORD200101"/>
    <x v="97"/>
    <s v="C15283"/>
    <x v="4"/>
    <x v="2"/>
    <x v="101"/>
    <x v="94"/>
    <x v="4"/>
    <x v="0"/>
    <s v="TRK19286291"/>
    <x v="5"/>
    <x v="2"/>
    <x v="4"/>
    <x v="101"/>
  </r>
  <r>
    <s v="ORD200102"/>
    <x v="98"/>
    <s v="C18037"/>
    <x v="5"/>
    <x v="1"/>
    <x v="102"/>
    <x v="95"/>
    <x v="3"/>
    <x v="1"/>
    <s v="TRK47362236"/>
    <x v="1"/>
    <x v="1"/>
    <x v="2"/>
    <x v="102"/>
  </r>
  <r>
    <s v="ORD200103"/>
    <x v="99"/>
    <s v="C62656"/>
    <x v="1"/>
    <x v="3"/>
    <x v="103"/>
    <x v="96"/>
    <x v="2"/>
    <x v="1"/>
    <s v="TRK86296459"/>
    <x v="6"/>
    <x v="0"/>
    <x v="2"/>
    <x v="103"/>
  </r>
  <r>
    <s v="ORD200104"/>
    <x v="100"/>
    <s v="C65744"/>
    <x v="1"/>
    <x v="2"/>
    <x v="104"/>
    <x v="97"/>
    <x v="3"/>
    <x v="3"/>
    <s v="TRK39906058"/>
    <x v="9"/>
    <x v="1"/>
    <x v="2"/>
    <x v="104"/>
  </r>
  <r>
    <s v="ORD200105"/>
    <x v="101"/>
    <s v="C72290"/>
    <x v="4"/>
    <x v="4"/>
    <x v="105"/>
    <x v="98"/>
    <x v="3"/>
    <x v="1"/>
    <s v="TRK68792129"/>
    <x v="0"/>
    <x v="2"/>
    <x v="3"/>
    <x v="105"/>
  </r>
  <r>
    <s v="ORD200106"/>
    <x v="102"/>
    <s v="C73514"/>
    <x v="6"/>
    <x v="4"/>
    <x v="106"/>
    <x v="99"/>
    <x v="2"/>
    <x v="1"/>
    <s v="TRK96777924"/>
    <x v="1"/>
    <x v="0"/>
    <x v="2"/>
    <x v="106"/>
  </r>
  <r>
    <s v="ORD200107"/>
    <x v="14"/>
    <s v="C16775"/>
    <x v="4"/>
    <x v="0"/>
    <x v="107"/>
    <x v="100"/>
    <x v="3"/>
    <x v="0"/>
    <s v="TRK34392124"/>
    <x v="2"/>
    <x v="1"/>
    <x v="0"/>
    <x v="107"/>
  </r>
  <r>
    <s v="ORD200108"/>
    <x v="103"/>
    <s v="C33099"/>
    <x v="5"/>
    <x v="0"/>
    <x v="108"/>
    <x v="101"/>
    <x v="3"/>
    <x v="3"/>
    <s v="TRK28522330"/>
    <x v="6"/>
    <x v="3"/>
    <x v="2"/>
    <x v="108"/>
  </r>
  <r>
    <s v="ORD200109"/>
    <x v="104"/>
    <s v="C51157"/>
    <x v="6"/>
    <x v="4"/>
    <x v="109"/>
    <x v="102"/>
    <x v="3"/>
    <x v="0"/>
    <s v="TRK18674578"/>
    <x v="1"/>
    <x v="1"/>
    <x v="1"/>
    <x v="109"/>
  </r>
  <r>
    <s v="ORD200110"/>
    <x v="105"/>
    <s v="C74562"/>
    <x v="2"/>
    <x v="2"/>
    <x v="110"/>
    <x v="103"/>
    <x v="3"/>
    <x v="4"/>
    <s v="TRK32062079"/>
    <x v="3"/>
    <x v="1"/>
    <x v="0"/>
    <x v="110"/>
  </r>
  <r>
    <s v="ORD200111"/>
    <x v="106"/>
    <s v="C95271"/>
    <x v="6"/>
    <x v="4"/>
    <x v="111"/>
    <x v="104"/>
    <x v="1"/>
    <x v="1"/>
    <s v="TRK74904969"/>
    <x v="0"/>
    <x v="1"/>
    <x v="4"/>
    <x v="111"/>
  </r>
  <r>
    <s v="ORD200112"/>
    <x v="107"/>
    <s v="C81366"/>
    <x v="0"/>
    <x v="2"/>
    <x v="112"/>
    <x v="105"/>
    <x v="1"/>
    <x v="1"/>
    <s v="TRK17062206"/>
    <x v="7"/>
    <x v="3"/>
    <x v="1"/>
    <x v="112"/>
  </r>
  <r>
    <s v="ORD200113"/>
    <x v="108"/>
    <s v="C65905"/>
    <x v="5"/>
    <x v="0"/>
    <x v="113"/>
    <x v="106"/>
    <x v="4"/>
    <x v="0"/>
    <s v="TRK73954365"/>
    <x v="6"/>
    <x v="1"/>
    <x v="0"/>
    <x v="113"/>
  </r>
  <r>
    <s v="ORD200114"/>
    <x v="109"/>
    <s v="C77272"/>
    <x v="0"/>
    <x v="0"/>
    <x v="114"/>
    <x v="107"/>
    <x v="1"/>
    <x v="4"/>
    <s v="TRK29708128"/>
    <x v="2"/>
    <x v="0"/>
    <x v="4"/>
    <x v="114"/>
  </r>
  <r>
    <s v="ORD200115"/>
    <x v="110"/>
    <s v="C32580"/>
    <x v="1"/>
    <x v="0"/>
    <x v="115"/>
    <x v="108"/>
    <x v="1"/>
    <x v="0"/>
    <s v="TRK23670394"/>
    <x v="6"/>
    <x v="0"/>
    <x v="3"/>
    <x v="115"/>
  </r>
  <r>
    <s v="ORD200116"/>
    <x v="111"/>
    <s v="C47761"/>
    <x v="4"/>
    <x v="3"/>
    <x v="116"/>
    <x v="109"/>
    <x v="2"/>
    <x v="1"/>
    <s v="TRK66669207"/>
    <x v="5"/>
    <x v="3"/>
    <x v="3"/>
    <x v="116"/>
  </r>
  <r>
    <s v="ORD200117"/>
    <x v="98"/>
    <s v="C49187"/>
    <x v="2"/>
    <x v="2"/>
    <x v="117"/>
    <x v="110"/>
    <x v="3"/>
    <x v="1"/>
    <s v="TRK81888598"/>
    <x v="3"/>
    <x v="3"/>
    <x v="1"/>
    <x v="117"/>
  </r>
  <r>
    <s v="ORD200118"/>
    <x v="112"/>
    <s v="C27898"/>
    <x v="4"/>
    <x v="0"/>
    <x v="118"/>
    <x v="111"/>
    <x v="3"/>
    <x v="0"/>
    <s v="TRK61957665"/>
    <x v="0"/>
    <x v="1"/>
    <x v="4"/>
    <x v="118"/>
  </r>
  <r>
    <s v="ORD200119"/>
    <x v="113"/>
    <s v="C14683"/>
    <x v="6"/>
    <x v="1"/>
    <x v="119"/>
    <x v="112"/>
    <x v="0"/>
    <x v="0"/>
    <s v="TRK47373682"/>
    <x v="0"/>
    <x v="1"/>
    <x v="1"/>
    <x v="119"/>
  </r>
  <r>
    <s v="ORD200120"/>
    <x v="114"/>
    <s v="C58108"/>
    <x v="2"/>
    <x v="3"/>
    <x v="120"/>
    <x v="6"/>
    <x v="4"/>
    <x v="1"/>
    <s v="TRK66218053"/>
    <x v="4"/>
    <x v="3"/>
    <x v="0"/>
    <x v="120"/>
  </r>
  <r>
    <s v="ORD200121"/>
    <x v="115"/>
    <s v="C89822"/>
    <x v="6"/>
    <x v="2"/>
    <x v="121"/>
    <x v="113"/>
    <x v="4"/>
    <x v="1"/>
    <s v="TRK24138598"/>
    <x v="9"/>
    <x v="1"/>
    <x v="0"/>
    <x v="121"/>
  </r>
  <r>
    <s v="ORD200122"/>
    <x v="116"/>
    <s v="C96787"/>
    <x v="5"/>
    <x v="1"/>
    <x v="122"/>
    <x v="114"/>
    <x v="3"/>
    <x v="0"/>
    <s v="TRK30422853"/>
    <x v="7"/>
    <x v="2"/>
    <x v="3"/>
    <x v="122"/>
  </r>
  <r>
    <s v="ORD200123"/>
    <x v="117"/>
    <s v="C86064"/>
    <x v="6"/>
    <x v="4"/>
    <x v="123"/>
    <x v="115"/>
    <x v="1"/>
    <x v="3"/>
    <s v="TRK62182901"/>
    <x v="3"/>
    <x v="2"/>
    <x v="0"/>
    <x v="123"/>
  </r>
  <r>
    <s v="ORD200124"/>
    <x v="118"/>
    <s v="C97148"/>
    <x v="4"/>
    <x v="3"/>
    <x v="124"/>
    <x v="116"/>
    <x v="1"/>
    <x v="4"/>
    <s v="TRK85321126"/>
    <x v="2"/>
    <x v="2"/>
    <x v="4"/>
    <x v="124"/>
  </r>
  <r>
    <s v="ORD200125"/>
    <x v="119"/>
    <s v="C91099"/>
    <x v="1"/>
    <x v="1"/>
    <x v="125"/>
    <x v="117"/>
    <x v="2"/>
    <x v="0"/>
    <s v="TRK81846174"/>
    <x v="3"/>
    <x v="0"/>
    <x v="2"/>
    <x v="125"/>
  </r>
  <r>
    <s v="ORD200126"/>
    <x v="120"/>
    <s v="C55606"/>
    <x v="6"/>
    <x v="3"/>
    <x v="126"/>
    <x v="118"/>
    <x v="3"/>
    <x v="0"/>
    <s v="TRK68250319"/>
    <x v="2"/>
    <x v="1"/>
    <x v="4"/>
    <x v="126"/>
  </r>
  <r>
    <s v="ORD200127"/>
    <x v="121"/>
    <s v="C71486"/>
    <x v="6"/>
    <x v="4"/>
    <x v="127"/>
    <x v="119"/>
    <x v="0"/>
    <x v="0"/>
    <s v="TRK73929833"/>
    <x v="1"/>
    <x v="2"/>
    <x v="4"/>
    <x v="127"/>
  </r>
  <r>
    <s v="ORD200128"/>
    <x v="96"/>
    <s v="C86408"/>
    <x v="2"/>
    <x v="3"/>
    <x v="128"/>
    <x v="120"/>
    <x v="3"/>
    <x v="3"/>
    <s v="TRK41432648"/>
    <x v="4"/>
    <x v="1"/>
    <x v="4"/>
    <x v="128"/>
  </r>
  <r>
    <s v="ORD200129"/>
    <x v="122"/>
    <s v="C52751"/>
    <x v="5"/>
    <x v="3"/>
    <x v="129"/>
    <x v="121"/>
    <x v="0"/>
    <x v="0"/>
    <s v="TRK72481234"/>
    <x v="4"/>
    <x v="1"/>
    <x v="3"/>
    <x v="129"/>
  </r>
  <r>
    <s v="ORD200130"/>
    <x v="123"/>
    <s v="C29059"/>
    <x v="6"/>
    <x v="4"/>
    <x v="130"/>
    <x v="122"/>
    <x v="1"/>
    <x v="1"/>
    <s v="TRK88360704"/>
    <x v="1"/>
    <x v="3"/>
    <x v="3"/>
    <x v="130"/>
  </r>
  <r>
    <s v="ORD200131"/>
    <x v="124"/>
    <s v="C72862"/>
    <x v="2"/>
    <x v="2"/>
    <x v="131"/>
    <x v="123"/>
    <x v="3"/>
    <x v="4"/>
    <s v="TRK51648833"/>
    <x v="3"/>
    <x v="2"/>
    <x v="0"/>
    <x v="131"/>
  </r>
  <r>
    <s v="ORD200132"/>
    <x v="125"/>
    <s v="C96257"/>
    <x v="2"/>
    <x v="3"/>
    <x v="132"/>
    <x v="124"/>
    <x v="2"/>
    <x v="0"/>
    <s v="TRK13137948"/>
    <x v="5"/>
    <x v="3"/>
    <x v="2"/>
    <x v="132"/>
  </r>
  <r>
    <s v="ORD200133"/>
    <x v="126"/>
    <s v="C87432"/>
    <x v="3"/>
    <x v="3"/>
    <x v="133"/>
    <x v="125"/>
    <x v="0"/>
    <x v="1"/>
    <s v="TRK68969625"/>
    <x v="5"/>
    <x v="0"/>
    <x v="4"/>
    <x v="133"/>
  </r>
  <r>
    <s v="ORD200134"/>
    <x v="127"/>
    <s v="C16253"/>
    <x v="5"/>
    <x v="1"/>
    <x v="134"/>
    <x v="124"/>
    <x v="4"/>
    <x v="4"/>
    <s v="TRK17354894"/>
    <x v="4"/>
    <x v="2"/>
    <x v="2"/>
    <x v="134"/>
  </r>
  <r>
    <s v="ORD200135"/>
    <x v="128"/>
    <s v="C79909"/>
    <x v="4"/>
    <x v="1"/>
    <x v="135"/>
    <x v="126"/>
    <x v="3"/>
    <x v="0"/>
    <s v="TRK86742257"/>
    <x v="3"/>
    <x v="0"/>
    <x v="1"/>
    <x v="135"/>
  </r>
  <r>
    <s v="ORD200136"/>
    <x v="129"/>
    <s v="C73370"/>
    <x v="5"/>
    <x v="2"/>
    <x v="136"/>
    <x v="127"/>
    <x v="3"/>
    <x v="1"/>
    <s v="TRK67820278"/>
    <x v="9"/>
    <x v="0"/>
    <x v="0"/>
    <x v="136"/>
  </r>
  <r>
    <s v="ORD200137"/>
    <x v="130"/>
    <s v="C50682"/>
    <x v="0"/>
    <x v="1"/>
    <x v="137"/>
    <x v="128"/>
    <x v="2"/>
    <x v="3"/>
    <s v="TRK12242337"/>
    <x v="3"/>
    <x v="2"/>
    <x v="4"/>
    <x v="137"/>
  </r>
  <r>
    <s v="ORD200138"/>
    <x v="131"/>
    <s v="C21905"/>
    <x v="2"/>
    <x v="2"/>
    <x v="138"/>
    <x v="129"/>
    <x v="0"/>
    <x v="4"/>
    <s v="TRK31863841"/>
    <x v="1"/>
    <x v="3"/>
    <x v="4"/>
    <x v="138"/>
  </r>
  <r>
    <s v="ORD200139"/>
    <x v="132"/>
    <s v="C61440"/>
    <x v="1"/>
    <x v="2"/>
    <x v="139"/>
    <x v="130"/>
    <x v="4"/>
    <x v="2"/>
    <s v="TRK33114521"/>
    <x v="9"/>
    <x v="2"/>
    <x v="2"/>
    <x v="139"/>
  </r>
  <r>
    <s v="ORD200140"/>
    <x v="133"/>
    <s v="C33110"/>
    <x v="3"/>
    <x v="4"/>
    <x v="140"/>
    <x v="103"/>
    <x v="1"/>
    <x v="3"/>
    <s v="TRK38624225"/>
    <x v="1"/>
    <x v="1"/>
    <x v="2"/>
    <x v="140"/>
  </r>
  <r>
    <s v="ORD200141"/>
    <x v="134"/>
    <s v="C80004"/>
    <x v="4"/>
    <x v="4"/>
    <x v="141"/>
    <x v="131"/>
    <x v="4"/>
    <x v="1"/>
    <s v="TRK66230753"/>
    <x v="1"/>
    <x v="3"/>
    <x v="0"/>
    <x v="141"/>
  </r>
  <r>
    <s v="ORD200142"/>
    <x v="135"/>
    <s v="C86374"/>
    <x v="6"/>
    <x v="0"/>
    <x v="142"/>
    <x v="132"/>
    <x v="4"/>
    <x v="4"/>
    <s v="TRK79451491"/>
    <x v="0"/>
    <x v="3"/>
    <x v="2"/>
    <x v="142"/>
  </r>
  <r>
    <s v="ORD200143"/>
    <x v="136"/>
    <s v="C66521"/>
    <x v="3"/>
    <x v="3"/>
    <x v="143"/>
    <x v="133"/>
    <x v="1"/>
    <x v="0"/>
    <s v="TRK34654244"/>
    <x v="3"/>
    <x v="2"/>
    <x v="1"/>
    <x v="143"/>
  </r>
  <r>
    <s v="ORD200144"/>
    <x v="128"/>
    <s v="C63365"/>
    <x v="6"/>
    <x v="0"/>
    <x v="144"/>
    <x v="30"/>
    <x v="2"/>
    <x v="4"/>
    <s v="TRK80100887"/>
    <x v="2"/>
    <x v="2"/>
    <x v="3"/>
    <x v="144"/>
  </r>
  <r>
    <s v="ORD200145"/>
    <x v="17"/>
    <s v="C85929"/>
    <x v="4"/>
    <x v="4"/>
    <x v="145"/>
    <x v="134"/>
    <x v="2"/>
    <x v="3"/>
    <s v="TRK29318610"/>
    <x v="5"/>
    <x v="1"/>
    <x v="4"/>
    <x v="145"/>
  </r>
  <r>
    <s v="ORD200146"/>
    <x v="137"/>
    <s v="C84645"/>
    <x v="2"/>
    <x v="1"/>
    <x v="146"/>
    <x v="135"/>
    <x v="2"/>
    <x v="2"/>
    <s v="TRK68893369"/>
    <x v="4"/>
    <x v="2"/>
    <x v="0"/>
    <x v="146"/>
  </r>
  <r>
    <s v="ORD200147"/>
    <x v="138"/>
    <s v="C46316"/>
    <x v="5"/>
    <x v="1"/>
    <x v="147"/>
    <x v="136"/>
    <x v="2"/>
    <x v="1"/>
    <s v="TRK16196000"/>
    <x v="7"/>
    <x v="0"/>
    <x v="4"/>
    <x v="147"/>
  </r>
  <r>
    <s v="ORD200148"/>
    <x v="139"/>
    <s v="C35100"/>
    <x v="1"/>
    <x v="1"/>
    <x v="148"/>
    <x v="137"/>
    <x v="2"/>
    <x v="1"/>
    <s v="TRK56853491"/>
    <x v="1"/>
    <x v="3"/>
    <x v="4"/>
    <x v="148"/>
  </r>
  <r>
    <s v="ORD200149"/>
    <x v="140"/>
    <s v="C39671"/>
    <x v="5"/>
    <x v="2"/>
    <x v="149"/>
    <x v="138"/>
    <x v="0"/>
    <x v="3"/>
    <s v="TRK47153818"/>
    <x v="1"/>
    <x v="2"/>
    <x v="3"/>
    <x v="149"/>
  </r>
  <r>
    <s v="ORD200150"/>
    <x v="141"/>
    <s v="C25503"/>
    <x v="1"/>
    <x v="1"/>
    <x v="150"/>
    <x v="139"/>
    <x v="0"/>
    <x v="2"/>
    <s v="TRK29878837"/>
    <x v="3"/>
    <x v="3"/>
    <x v="4"/>
    <x v="150"/>
  </r>
  <r>
    <s v="ORD200151"/>
    <x v="142"/>
    <s v="C32960"/>
    <x v="4"/>
    <x v="0"/>
    <x v="151"/>
    <x v="140"/>
    <x v="0"/>
    <x v="2"/>
    <s v="TRK91226500"/>
    <x v="0"/>
    <x v="2"/>
    <x v="2"/>
    <x v="151"/>
  </r>
  <r>
    <s v="ORD200152"/>
    <x v="143"/>
    <s v="C77736"/>
    <x v="3"/>
    <x v="1"/>
    <x v="152"/>
    <x v="141"/>
    <x v="4"/>
    <x v="1"/>
    <s v="TRK90329250"/>
    <x v="1"/>
    <x v="1"/>
    <x v="1"/>
    <x v="152"/>
  </r>
  <r>
    <s v="ORD200153"/>
    <x v="144"/>
    <s v="C71570"/>
    <x v="3"/>
    <x v="3"/>
    <x v="153"/>
    <x v="142"/>
    <x v="1"/>
    <x v="2"/>
    <s v="TRK95992269"/>
    <x v="6"/>
    <x v="3"/>
    <x v="0"/>
    <x v="153"/>
  </r>
  <r>
    <s v="ORD200154"/>
    <x v="145"/>
    <s v="C73587"/>
    <x v="1"/>
    <x v="3"/>
    <x v="154"/>
    <x v="115"/>
    <x v="2"/>
    <x v="4"/>
    <s v="TRK13955543"/>
    <x v="6"/>
    <x v="2"/>
    <x v="0"/>
    <x v="154"/>
  </r>
  <r>
    <s v="ORD200155"/>
    <x v="146"/>
    <s v="C62740"/>
    <x v="1"/>
    <x v="2"/>
    <x v="155"/>
    <x v="47"/>
    <x v="1"/>
    <x v="0"/>
    <s v="TRK20706408"/>
    <x v="5"/>
    <x v="3"/>
    <x v="1"/>
    <x v="155"/>
  </r>
  <r>
    <s v="ORD200156"/>
    <x v="147"/>
    <s v="C58808"/>
    <x v="3"/>
    <x v="1"/>
    <x v="156"/>
    <x v="143"/>
    <x v="1"/>
    <x v="3"/>
    <s v="TRK24451893"/>
    <x v="4"/>
    <x v="0"/>
    <x v="2"/>
    <x v="156"/>
  </r>
  <r>
    <s v="ORD200157"/>
    <x v="148"/>
    <s v="C50422"/>
    <x v="0"/>
    <x v="1"/>
    <x v="157"/>
    <x v="125"/>
    <x v="1"/>
    <x v="2"/>
    <s v="TRK71227815"/>
    <x v="4"/>
    <x v="3"/>
    <x v="3"/>
    <x v="157"/>
  </r>
  <r>
    <s v="ORD200158"/>
    <x v="149"/>
    <s v="C23334"/>
    <x v="2"/>
    <x v="2"/>
    <x v="158"/>
    <x v="144"/>
    <x v="2"/>
    <x v="4"/>
    <s v="TRK46335144"/>
    <x v="3"/>
    <x v="3"/>
    <x v="0"/>
    <x v="158"/>
  </r>
  <r>
    <s v="ORD200159"/>
    <x v="150"/>
    <s v="C48965"/>
    <x v="4"/>
    <x v="2"/>
    <x v="159"/>
    <x v="145"/>
    <x v="2"/>
    <x v="1"/>
    <s v="TRK50921780"/>
    <x v="3"/>
    <x v="3"/>
    <x v="2"/>
    <x v="159"/>
  </r>
  <r>
    <s v="ORD200160"/>
    <x v="96"/>
    <s v="C38669"/>
    <x v="0"/>
    <x v="3"/>
    <x v="160"/>
    <x v="146"/>
    <x v="4"/>
    <x v="4"/>
    <s v="TRK81738254"/>
    <x v="0"/>
    <x v="2"/>
    <x v="1"/>
    <x v="160"/>
  </r>
  <r>
    <s v="ORD200161"/>
    <x v="151"/>
    <s v="C35091"/>
    <x v="0"/>
    <x v="2"/>
    <x v="161"/>
    <x v="122"/>
    <x v="2"/>
    <x v="1"/>
    <s v="TRK53784452"/>
    <x v="9"/>
    <x v="0"/>
    <x v="3"/>
    <x v="150"/>
  </r>
  <r>
    <s v="ORD200162"/>
    <x v="152"/>
    <s v="C82313"/>
    <x v="3"/>
    <x v="4"/>
    <x v="162"/>
    <x v="69"/>
    <x v="1"/>
    <x v="4"/>
    <s v="TRK79854624"/>
    <x v="2"/>
    <x v="3"/>
    <x v="4"/>
    <x v="161"/>
  </r>
  <r>
    <s v="ORD200163"/>
    <x v="53"/>
    <s v="C99589"/>
    <x v="2"/>
    <x v="2"/>
    <x v="163"/>
    <x v="147"/>
    <x v="1"/>
    <x v="1"/>
    <s v="TRK16695001"/>
    <x v="9"/>
    <x v="2"/>
    <x v="1"/>
    <x v="162"/>
  </r>
  <r>
    <s v="ORD200164"/>
    <x v="153"/>
    <s v="C70566"/>
    <x v="6"/>
    <x v="0"/>
    <x v="164"/>
    <x v="148"/>
    <x v="3"/>
    <x v="4"/>
    <s v="TRK49673411"/>
    <x v="3"/>
    <x v="0"/>
    <x v="4"/>
    <x v="163"/>
  </r>
  <r>
    <s v="ORD200165"/>
    <x v="154"/>
    <s v="C60355"/>
    <x v="0"/>
    <x v="1"/>
    <x v="165"/>
    <x v="149"/>
    <x v="1"/>
    <x v="2"/>
    <s v="TRK30155194"/>
    <x v="0"/>
    <x v="3"/>
    <x v="4"/>
    <x v="164"/>
  </r>
  <r>
    <s v="ORD200166"/>
    <x v="155"/>
    <s v="C28889"/>
    <x v="3"/>
    <x v="4"/>
    <x v="166"/>
    <x v="51"/>
    <x v="4"/>
    <x v="3"/>
    <s v="TRK23791726"/>
    <x v="5"/>
    <x v="3"/>
    <x v="0"/>
    <x v="165"/>
  </r>
  <r>
    <s v="ORD200167"/>
    <x v="156"/>
    <s v="C88304"/>
    <x v="3"/>
    <x v="1"/>
    <x v="167"/>
    <x v="150"/>
    <x v="1"/>
    <x v="2"/>
    <s v="TRK44268941"/>
    <x v="7"/>
    <x v="3"/>
    <x v="2"/>
    <x v="166"/>
  </r>
  <r>
    <s v="ORD200168"/>
    <x v="157"/>
    <s v="C49517"/>
    <x v="4"/>
    <x v="2"/>
    <x v="168"/>
    <x v="151"/>
    <x v="4"/>
    <x v="2"/>
    <s v="TRK78551375"/>
    <x v="5"/>
    <x v="2"/>
    <x v="3"/>
    <x v="167"/>
  </r>
  <r>
    <s v="ORD200169"/>
    <x v="158"/>
    <s v="C35785"/>
    <x v="4"/>
    <x v="2"/>
    <x v="169"/>
    <x v="152"/>
    <x v="1"/>
    <x v="3"/>
    <s v="TRK78923089"/>
    <x v="7"/>
    <x v="3"/>
    <x v="2"/>
    <x v="168"/>
  </r>
  <r>
    <s v="ORD200170"/>
    <x v="159"/>
    <s v="C80223"/>
    <x v="6"/>
    <x v="3"/>
    <x v="170"/>
    <x v="153"/>
    <x v="4"/>
    <x v="1"/>
    <s v="TRK68632951"/>
    <x v="2"/>
    <x v="0"/>
    <x v="0"/>
    <x v="169"/>
  </r>
  <r>
    <s v="ORD200171"/>
    <x v="160"/>
    <s v="C20448"/>
    <x v="2"/>
    <x v="1"/>
    <x v="171"/>
    <x v="154"/>
    <x v="2"/>
    <x v="3"/>
    <s v="TRK67379895"/>
    <x v="0"/>
    <x v="3"/>
    <x v="0"/>
    <x v="170"/>
  </r>
  <r>
    <s v="ORD200172"/>
    <x v="161"/>
    <s v="C34134"/>
    <x v="4"/>
    <x v="2"/>
    <x v="172"/>
    <x v="119"/>
    <x v="1"/>
    <x v="3"/>
    <s v="TRK43074303"/>
    <x v="9"/>
    <x v="3"/>
    <x v="2"/>
    <x v="171"/>
  </r>
  <r>
    <s v="ORD200173"/>
    <x v="59"/>
    <s v="C95901"/>
    <x v="1"/>
    <x v="4"/>
    <x v="173"/>
    <x v="155"/>
    <x v="1"/>
    <x v="3"/>
    <s v="TRK56989066"/>
    <x v="4"/>
    <x v="1"/>
    <x v="4"/>
    <x v="172"/>
  </r>
  <r>
    <s v="ORD200174"/>
    <x v="162"/>
    <s v="C51145"/>
    <x v="4"/>
    <x v="3"/>
    <x v="174"/>
    <x v="156"/>
    <x v="0"/>
    <x v="3"/>
    <s v="TRK59154274"/>
    <x v="6"/>
    <x v="0"/>
    <x v="2"/>
    <x v="173"/>
  </r>
  <r>
    <s v="ORD200175"/>
    <x v="163"/>
    <s v="C78170"/>
    <x v="3"/>
    <x v="0"/>
    <x v="175"/>
    <x v="157"/>
    <x v="0"/>
    <x v="4"/>
    <s v="TRK71410605"/>
    <x v="5"/>
    <x v="3"/>
    <x v="1"/>
    <x v="174"/>
  </r>
  <r>
    <s v="ORD200176"/>
    <x v="164"/>
    <s v="C80151"/>
    <x v="2"/>
    <x v="3"/>
    <x v="176"/>
    <x v="158"/>
    <x v="3"/>
    <x v="4"/>
    <s v="TRK88251529"/>
    <x v="2"/>
    <x v="3"/>
    <x v="1"/>
    <x v="175"/>
  </r>
  <r>
    <s v="ORD200177"/>
    <x v="165"/>
    <s v="C55632"/>
    <x v="3"/>
    <x v="0"/>
    <x v="177"/>
    <x v="159"/>
    <x v="2"/>
    <x v="4"/>
    <s v="TRK13003066"/>
    <x v="8"/>
    <x v="2"/>
    <x v="3"/>
    <x v="176"/>
  </r>
  <r>
    <s v="ORD200178"/>
    <x v="166"/>
    <s v="C53070"/>
    <x v="3"/>
    <x v="3"/>
    <x v="178"/>
    <x v="160"/>
    <x v="1"/>
    <x v="3"/>
    <s v="TRK49791755"/>
    <x v="3"/>
    <x v="0"/>
    <x v="4"/>
    <x v="177"/>
  </r>
  <r>
    <s v="ORD200179"/>
    <x v="167"/>
    <s v="C27401"/>
    <x v="5"/>
    <x v="4"/>
    <x v="179"/>
    <x v="161"/>
    <x v="2"/>
    <x v="3"/>
    <s v="TRK14332053"/>
    <x v="2"/>
    <x v="2"/>
    <x v="2"/>
    <x v="178"/>
  </r>
  <r>
    <s v="ORD200180"/>
    <x v="168"/>
    <s v="C87216"/>
    <x v="2"/>
    <x v="0"/>
    <x v="180"/>
    <x v="162"/>
    <x v="4"/>
    <x v="2"/>
    <s v="TRK18713727"/>
    <x v="8"/>
    <x v="2"/>
    <x v="4"/>
    <x v="179"/>
  </r>
  <r>
    <s v="ORD200181"/>
    <x v="169"/>
    <s v="C38966"/>
    <x v="4"/>
    <x v="0"/>
    <x v="181"/>
    <x v="163"/>
    <x v="1"/>
    <x v="0"/>
    <s v="TRK17205146"/>
    <x v="8"/>
    <x v="2"/>
    <x v="1"/>
    <x v="180"/>
  </r>
  <r>
    <s v="ORD200182"/>
    <x v="170"/>
    <s v="C16612"/>
    <x v="6"/>
    <x v="2"/>
    <x v="182"/>
    <x v="164"/>
    <x v="0"/>
    <x v="4"/>
    <s v="TRK96188223"/>
    <x v="4"/>
    <x v="3"/>
    <x v="4"/>
    <x v="181"/>
  </r>
  <r>
    <s v="ORD200183"/>
    <x v="171"/>
    <s v="C39246"/>
    <x v="0"/>
    <x v="0"/>
    <x v="183"/>
    <x v="165"/>
    <x v="0"/>
    <x v="3"/>
    <s v="TRK16658182"/>
    <x v="2"/>
    <x v="0"/>
    <x v="2"/>
    <x v="182"/>
  </r>
  <r>
    <s v="ORD200184"/>
    <x v="172"/>
    <s v="C65180"/>
    <x v="2"/>
    <x v="3"/>
    <x v="184"/>
    <x v="166"/>
    <x v="3"/>
    <x v="1"/>
    <s v="TRK39255469"/>
    <x v="0"/>
    <x v="2"/>
    <x v="1"/>
    <x v="183"/>
  </r>
  <r>
    <s v="ORD200185"/>
    <x v="61"/>
    <s v="C46877"/>
    <x v="5"/>
    <x v="2"/>
    <x v="185"/>
    <x v="167"/>
    <x v="1"/>
    <x v="0"/>
    <s v="TRK96935978"/>
    <x v="7"/>
    <x v="3"/>
    <x v="1"/>
    <x v="184"/>
  </r>
  <r>
    <s v="ORD200186"/>
    <x v="173"/>
    <s v="C30334"/>
    <x v="1"/>
    <x v="1"/>
    <x v="186"/>
    <x v="168"/>
    <x v="4"/>
    <x v="4"/>
    <s v="TRK66388885"/>
    <x v="0"/>
    <x v="1"/>
    <x v="3"/>
    <x v="185"/>
  </r>
  <r>
    <s v="ORD200187"/>
    <x v="174"/>
    <s v="C21227"/>
    <x v="3"/>
    <x v="2"/>
    <x v="187"/>
    <x v="169"/>
    <x v="3"/>
    <x v="2"/>
    <s v="TRK79129657"/>
    <x v="5"/>
    <x v="1"/>
    <x v="1"/>
    <x v="186"/>
  </r>
  <r>
    <s v="ORD200188"/>
    <x v="175"/>
    <s v="C97715"/>
    <x v="3"/>
    <x v="1"/>
    <x v="188"/>
    <x v="170"/>
    <x v="3"/>
    <x v="0"/>
    <s v="TRK19515949"/>
    <x v="7"/>
    <x v="1"/>
    <x v="1"/>
    <x v="187"/>
  </r>
  <r>
    <s v="ORD200189"/>
    <x v="176"/>
    <s v="C48939"/>
    <x v="4"/>
    <x v="0"/>
    <x v="189"/>
    <x v="171"/>
    <x v="3"/>
    <x v="1"/>
    <s v="TRK62786764"/>
    <x v="3"/>
    <x v="3"/>
    <x v="2"/>
    <x v="188"/>
  </r>
  <r>
    <s v="ORD200190"/>
    <x v="169"/>
    <s v="C35483"/>
    <x v="4"/>
    <x v="4"/>
    <x v="190"/>
    <x v="172"/>
    <x v="4"/>
    <x v="2"/>
    <s v="TRK79638203"/>
    <x v="1"/>
    <x v="0"/>
    <x v="2"/>
    <x v="189"/>
  </r>
  <r>
    <s v="ORD200191"/>
    <x v="177"/>
    <s v="C51494"/>
    <x v="5"/>
    <x v="1"/>
    <x v="191"/>
    <x v="173"/>
    <x v="1"/>
    <x v="1"/>
    <s v="TRK58520306"/>
    <x v="4"/>
    <x v="1"/>
    <x v="4"/>
    <x v="190"/>
  </r>
  <r>
    <s v="ORD200192"/>
    <x v="178"/>
    <s v="C58410"/>
    <x v="6"/>
    <x v="2"/>
    <x v="192"/>
    <x v="131"/>
    <x v="3"/>
    <x v="1"/>
    <s v="TRK19749672"/>
    <x v="3"/>
    <x v="0"/>
    <x v="4"/>
    <x v="191"/>
  </r>
  <r>
    <s v="ORD200193"/>
    <x v="179"/>
    <s v="C11644"/>
    <x v="4"/>
    <x v="2"/>
    <x v="193"/>
    <x v="174"/>
    <x v="4"/>
    <x v="1"/>
    <s v="TRK81320339"/>
    <x v="5"/>
    <x v="2"/>
    <x v="4"/>
    <x v="192"/>
  </r>
  <r>
    <s v="ORD200194"/>
    <x v="180"/>
    <s v="C53501"/>
    <x v="0"/>
    <x v="2"/>
    <x v="194"/>
    <x v="175"/>
    <x v="4"/>
    <x v="0"/>
    <s v="TRK90144892"/>
    <x v="1"/>
    <x v="1"/>
    <x v="4"/>
    <x v="193"/>
  </r>
  <r>
    <s v="ORD200195"/>
    <x v="181"/>
    <s v="C63619"/>
    <x v="3"/>
    <x v="4"/>
    <x v="195"/>
    <x v="176"/>
    <x v="0"/>
    <x v="1"/>
    <s v="TRK65385674"/>
    <x v="5"/>
    <x v="2"/>
    <x v="2"/>
    <x v="194"/>
  </r>
  <r>
    <s v="ORD200196"/>
    <x v="182"/>
    <s v="C40882"/>
    <x v="6"/>
    <x v="3"/>
    <x v="196"/>
    <x v="177"/>
    <x v="4"/>
    <x v="3"/>
    <s v="TRK64165503"/>
    <x v="2"/>
    <x v="3"/>
    <x v="2"/>
    <x v="195"/>
  </r>
  <r>
    <s v="ORD200197"/>
    <x v="183"/>
    <s v="C80135"/>
    <x v="5"/>
    <x v="0"/>
    <x v="197"/>
    <x v="178"/>
    <x v="4"/>
    <x v="2"/>
    <s v="TRK95222269"/>
    <x v="3"/>
    <x v="3"/>
    <x v="1"/>
    <x v="196"/>
  </r>
  <r>
    <s v="ORD200198"/>
    <x v="184"/>
    <s v="C37594"/>
    <x v="5"/>
    <x v="3"/>
    <x v="198"/>
    <x v="34"/>
    <x v="4"/>
    <x v="1"/>
    <s v="TRK94405162"/>
    <x v="2"/>
    <x v="0"/>
    <x v="1"/>
    <x v="197"/>
  </r>
  <r>
    <s v="ORD200199"/>
    <x v="185"/>
    <s v="C87524"/>
    <x v="1"/>
    <x v="2"/>
    <x v="199"/>
    <x v="179"/>
    <x v="1"/>
    <x v="2"/>
    <s v="TRK21114341"/>
    <x v="3"/>
    <x v="3"/>
    <x v="4"/>
    <x v="198"/>
  </r>
  <r>
    <s v="ORD200200"/>
    <x v="186"/>
    <s v="C97681"/>
    <x v="2"/>
    <x v="0"/>
    <x v="200"/>
    <x v="30"/>
    <x v="2"/>
    <x v="3"/>
    <s v="TRK37531040"/>
    <x v="6"/>
    <x v="0"/>
    <x v="4"/>
    <x v="199"/>
  </r>
  <r>
    <s v="ORD200201"/>
    <x v="187"/>
    <s v="C10126"/>
    <x v="0"/>
    <x v="1"/>
    <x v="201"/>
    <x v="72"/>
    <x v="1"/>
    <x v="0"/>
    <s v="TRK75607531"/>
    <x v="4"/>
    <x v="0"/>
    <x v="3"/>
    <x v="200"/>
  </r>
  <r>
    <s v="ORD200202"/>
    <x v="188"/>
    <s v="C36938"/>
    <x v="0"/>
    <x v="4"/>
    <x v="202"/>
    <x v="125"/>
    <x v="2"/>
    <x v="1"/>
    <s v="TRK52522904"/>
    <x v="1"/>
    <x v="1"/>
    <x v="2"/>
    <x v="201"/>
  </r>
  <r>
    <s v="ORD200203"/>
    <x v="94"/>
    <s v="C99173"/>
    <x v="4"/>
    <x v="4"/>
    <x v="203"/>
    <x v="180"/>
    <x v="1"/>
    <x v="0"/>
    <s v="TRK89849342"/>
    <x v="3"/>
    <x v="0"/>
    <x v="0"/>
    <x v="202"/>
  </r>
  <r>
    <s v="ORD200204"/>
    <x v="189"/>
    <s v="C99775"/>
    <x v="5"/>
    <x v="3"/>
    <x v="204"/>
    <x v="129"/>
    <x v="3"/>
    <x v="1"/>
    <s v="TRK21638425"/>
    <x v="6"/>
    <x v="1"/>
    <x v="3"/>
    <x v="203"/>
  </r>
  <r>
    <s v="ORD200205"/>
    <x v="190"/>
    <s v="C19266"/>
    <x v="6"/>
    <x v="4"/>
    <x v="205"/>
    <x v="181"/>
    <x v="0"/>
    <x v="2"/>
    <s v="TRK58357269"/>
    <x v="1"/>
    <x v="2"/>
    <x v="2"/>
    <x v="204"/>
  </r>
  <r>
    <s v="ORD200206"/>
    <x v="162"/>
    <s v="C31072"/>
    <x v="5"/>
    <x v="3"/>
    <x v="206"/>
    <x v="182"/>
    <x v="3"/>
    <x v="2"/>
    <s v="TRK77172975"/>
    <x v="2"/>
    <x v="3"/>
    <x v="2"/>
    <x v="205"/>
  </r>
  <r>
    <s v="ORD200207"/>
    <x v="191"/>
    <s v="C54595"/>
    <x v="1"/>
    <x v="2"/>
    <x v="207"/>
    <x v="183"/>
    <x v="0"/>
    <x v="3"/>
    <s v="TRK44416659"/>
    <x v="1"/>
    <x v="2"/>
    <x v="4"/>
    <x v="206"/>
  </r>
  <r>
    <s v="ORD200208"/>
    <x v="192"/>
    <s v="C87777"/>
    <x v="6"/>
    <x v="1"/>
    <x v="208"/>
    <x v="171"/>
    <x v="1"/>
    <x v="0"/>
    <s v="TRK29003608"/>
    <x v="1"/>
    <x v="1"/>
    <x v="3"/>
    <x v="207"/>
  </r>
  <r>
    <s v="ORD200209"/>
    <x v="193"/>
    <s v="C35854"/>
    <x v="2"/>
    <x v="0"/>
    <x v="209"/>
    <x v="7"/>
    <x v="4"/>
    <x v="2"/>
    <s v="TRK30615168"/>
    <x v="6"/>
    <x v="0"/>
    <x v="4"/>
    <x v="208"/>
  </r>
  <r>
    <s v="ORD200210"/>
    <x v="194"/>
    <s v="C93821"/>
    <x v="3"/>
    <x v="4"/>
    <x v="210"/>
    <x v="122"/>
    <x v="3"/>
    <x v="3"/>
    <s v="TRK10658539"/>
    <x v="0"/>
    <x v="1"/>
    <x v="3"/>
    <x v="209"/>
  </r>
  <r>
    <s v="ORD200211"/>
    <x v="195"/>
    <s v="C54390"/>
    <x v="4"/>
    <x v="4"/>
    <x v="211"/>
    <x v="184"/>
    <x v="3"/>
    <x v="4"/>
    <s v="TRK83853742"/>
    <x v="0"/>
    <x v="1"/>
    <x v="2"/>
    <x v="210"/>
  </r>
  <r>
    <s v="ORD200212"/>
    <x v="196"/>
    <s v="C53215"/>
    <x v="0"/>
    <x v="2"/>
    <x v="212"/>
    <x v="185"/>
    <x v="2"/>
    <x v="1"/>
    <s v="TRK34751835"/>
    <x v="5"/>
    <x v="3"/>
    <x v="2"/>
    <x v="211"/>
  </r>
  <r>
    <s v="ORD200213"/>
    <x v="197"/>
    <s v="C71122"/>
    <x v="5"/>
    <x v="2"/>
    <x v="213"/>
    <x v="186"/>
    <x v="4"/>
    <x v="1"/>
    <s v="TRK54757882"/>
    <x v="5"/>
    <x v="0"/>
    <x v="2"/>
    <x v="212"/>
  </r>
  <r>
    <s v="ORD200214"/>
    <x v="58"/>
    <s v="C29483"/>
    <x v="6"/>
    <x v="3"/>
    <x v="214"/>
    <x v="113"/>
    <x v="1"/>
    <x v="3"/>
    <s v="TRK89423603"/>
    <x v="3"/>
    <x v="2"/>
    <x v="3"/>
    <x v="213"/>
  </r>
  <r>
    <s v="ORD200215"/>
    <x v="121"/>
    <s v="C26767"/>
    <x v="4"/>
    <x v="2"/>
    <x v="215"/>
    <x v="187"/>
    <x v="4"/>
    <x v="0"/>
    <s v="TRK24585307"/>
    <x v="3"/>
    <x v="1"/>
    <x v="3"/>
    <x v="214"/>
  </r>
  <r>
    <s v="ORD200216"/>
    <x v="198"/>
    <s v="C70492"/>
    <x v="0"/>
    <x v="3"/>
    <x v="216"/>
    <x v="55"/>
    <x v="1"/>
    <x v="1"/>
    <s v="TRK84625405"/>
    <x v="2"/>
    <x v="3"/>
    <x v="4"/>
    <x v="215"/>
  </r>
  <r>
    <s v="ORD200217"/>
    <x v="199"/>
    <s v="C61549"/>
    <x v="6"/>
    <x v="3"/>
    <x v="217"/>
    <x v="188"/>
    <x v="4"/>
    <x v="2"/>
    <s v="TRK65596914"/>
    <x v="6"/>
    <x v="2"/>
    <x v="4"/>
    <x v="216"/>
  </r>
  <r>
    <s v="ORD200218"/>
    <x v="200"/>
    <s v="C11665"/>
    <x v="2"/>
    <x v="4"/>
    <x v="218"/>
    <x v="189"/>
    <x v="3"/>
    <x v="0"/>
    <s v="TRK10993930"/>
    <x v="5"/>
    <x v="0"/>
    <x v="0"/>
    <x v="217"/>
  </r>
  <r>
    <s v="ORD200219"/>
    <x v="201"/>
    <s v="C48946"/>
    <x v="5"/>
    <x v="0"/>
    <x v="219"/>
    <x v="190"/>
    <x v="4"/>
    <x v="3"/>
    <s v="TRK99387220"/>
    <x v="5"/>
    <x v="0"/>
    <x v="2"/>
    <x v="218"/>
  </r>
  <r>
    <s v="ORD200220"/>
    <x v="202"/>
    <s v="C79506"/>
    <x v="5"/>
    <x v="1"/>
    <x v="220"/>
    <x v="191"/>
    <x v="2"/>
    <x v="4"/>
    <s v="TRK95188748"/>
    <x v="5"/>
    <x v="0"/>
    <x v="1"/>
    <x v="219"/>
  </r>
  <r>
    <s v="ORD200221"/>
    <x v="203"/>
    <s v="C93473"/>
    <x v="2"/>
    <x v="0"/>
    <x v="221"/>
    <x v="64"/>
    <x v="0"/>
    <x v="4"/>
    <s v="TRK50003989"/>
    <x v="5"/>
    <x v="0"/>
    <x v="4"/>
    <x v="220"/>
  </r>
  <r>
    <s v="ORD200222"/>
    <x v="204"/>
    <s v="C43124"/>
    <x v="3"/>
    <x v="3"/>
    <x v="222"/>
    <x v="192"/>
    <x v="1"/>
    <x v="0"/>
    <s v="TRK17293348"/>
    <x v="2"/>
    <x v="2"/>
    <x v="0"/>
    <x v="221"/>
  </r>
  <r>
    <s v="ORD200223"/>
    <x v="57"/>
    <s v="C22783"/>
    <x v="1"/>
    <x v="3"/>
    <x v="223"/>
    <x v="113"/>
    <x v="2"/>
    <x v="4"/>
    <s v="TRK55009149"/>
    <x v="6"/>
    <x v="0"/>
    <x v="0"/>
    <x v="222"/>
  </r>
  <r>
    <s v="ORD200224"/>
    <x v="205"/>
    <s v="C18567"/>
    <x v="4"/>
    <x v="3"/>
    <x v="224"/>
    <x v="193"/>
    <x v="4"/>
    <x v="1"/>
    <s v="TRK17554673"/>
    <x v="6"/>
    <x v="0"/>
    <x v="1"/>
    <x v="223"/>
  </r>
  <r>
    <s v="ORD200225"/>
    <x v="206"/>
    <s v="C99879"/>
    <x v="1"/>
    <x v="4"/>
    <x v="225"/>
    <x v="194"/>
    <x v="0"/>
    <x v="2"/>
    <s v="TRK50246700"/>
    <x v="2"/>
    <x v="0"/>
    <x v="4"/>
    <x v="224"/>
  </r>
  <r>
    <s v="ORD200226"/>
    <x v="207"/>
    <s v="C31501"/>
    <x v="6"/>
    <x v="4"/>
    <x v="226"/>
    <x v="195"/>
    <x v="3"/>
    <x v="3"/>
    <s v="TRK93063929"/>
    <x v="2"/>
    <x v="2"/>
    <x v="0"/>
    <x v="225"/>
  </r>
  <r>
    <s v="ORD200227"/>
    <x v="208"/>
    <s v="C93220"/>
    <x v="0"/>
    <x v="1"/>
    <x v="227"/>
    <x v="118"/>
    <x v="1"/>
    <x v="1"/>
    <s v="TRK89023251"/>
    <x v="4"/>
    <x v="1"/>
    <x v="3"/>
    <x v="226"/>
  </r>
  <r>
    <s v="ORD200228"/>
    <x v="209"/>
    <s v="C57867"/>
    <x v="3"/>
    <x v="3"/>
    <x v="228"/>
    <x v="196"/>
    <x v="2"/>
    <x v="1"/>
    <s v="TRK92055007"/>
    <x v="2"/>
    <x v="2"/>
    <x v="0"/>
    <x v="227"/>
  </r>
  <r>
    <s v="ORD200229"/>
    <x v="210"/>
    <s v="C62622"/>
    <x v="2"/>
    <x v="2"/>
    <x v="229"/>
    <x v="197"/>
    <x v="2"/>
    <x v="3"/>
    <s v="TRK70997648"/>
    <x v="1"/>
    <x v="3"/>
    <x v="3"/>
    <x v="228"/>
  </r>
  <r>
    <s v="ORD200230"/>
    <x v="211"/>
    <s v="C94595"/>
    <x v="6"/>
    <x v="3"/>
    <x v="230"/>
    <x v="198"/>
    <x v="3"/>
    <x v="3"/>
    <s v="TRK24497305"/>
    <x v="5"/>
    <x v="3"/>
    <x v="2"/>
    <x v="229"/>
  </r>
  <r>
    <s v="ORD200231"/>
    <x v="212"/>
    <s v="C30955"/>
    <x v="1"/>
    <x v="3"/>
    <x v="231"/>
    <x v="199"/>
    <x v="3"/>
    <x v="4"/>
    <s v="TRK46898848"/>
    <x v="6"/>
    <x v="1"/>
    <x v="0"/>
    <x v="230"/>
  </r>
  <r>
    <s v="ORD200232"/>
    <x v="213"/>
    <s v="C20731"/>
    <x v="4"/>
    <x v="3"/>
    <x v="232"/>
    <x v="200"/>
    <x v="0"/>
    <x v="1"/>
    <s v="TRK75568437"/>
    <x v="2"/>
    <x v="3"/>
    <x v="4"/>
    <x v="231"/>
  </r>
  <r>
    <s v="ORD200233"/>
    <x v="214"/>
    <s v="C30168"/>
    <x v="1"/>
    <x v="4"/>
    <x v="233"/>
    <x v="72"/>
    <x v="4"/>
    <x v="1"/>
    <s v="TRK73699939"/>
    <x v="1"/>
    <x v="3"/>
    <x v="0"/>
    <x v="232"/>
  </r>
  <r>
    <s v="ORD200234"/>
    <x v="130"/>
    <s v="C79842"/>
    <x v="4"/>
    <x v="3"/>
    <x v="234"/>
    <x v="201"/>
    <x v="0"/>
    <x v="4"/>
    <s v="TRK26957950"/>
    <x v="0"/>
    <x v="0"/>
    <x v="4"/>
    <x v="233"/>
  </r>
  <r>
    <s v="ORD200235"/>
    <x v="215"/>
    <s v="C32854"/>
    <x v="6"/>
    <x v="2"/>
    <x v="235"/>
    <x v="202"/>
    <x v="4"/>
    <x v="4"/>
    <s v="TRK30009218"/>
    <x v="7"/>
    <x v="3"/>
    <x v="4"/>
    <x v="234"/>
  </r>
  <r>
    <s v="ORD200236"/>
    <x v="107"/>
    <s v="C14847"/>
    <x v="0"/>
    <x v="2"/>
    <x v="236"/>
    <x v="203"/>
    <x v="0"/>
    <x v="4"/>
    <s v="TRK39663243"/>
    <x v="1"/>
    <x v="3"/>
    <x v="2"/>
    <x v="235"/>
  </r>
  <r>
    <s v="ORD200237"/>
    <x v="216"/>
    <s v="C88645"/>
    <x v="0"/>
    <x v="4"/>
    <x v="237"/>
    <x v="204"/>
    <x v="2"/>
    <x v="0"/>
    <s v="TRK74097570"/>
    <x v="3"/>
    <x v="1"/>
    <x v="3"/>
    <x v="236"/>
  </r>
  <r>
    <s v="ORD200238"/>
    <x v="217"/>
    <s v="C66149"/>
    <x v="6"/>
    <x v="3"/>
    <x v="238"/>
    <x v="205"/>
    <x v="2"/>
    <x v="4"/>
    <s v="TRK76307307"/>
    <x v="5"/>
    <x v="3"/>
    <x v="4"/>
    <x v="237"/>
  </r>
  <r>
    <s v="ORD200239"/>
    <x v="218"/>
    <s v="C20256"/>
    <x v="2"/>
    <x v="4"/>
    <x v="239"/>
    <x v="206"/>
    <x v="1"/>
    <x v="0"/>
    <s v="TRK71127943"/>
    <x v="5"/>
    <x v="1"/>
    <x v="2"/>
    <x v="238"/>
  </r>
  <r>
    <s v="ORD200240"/>
    <x v="219"/>
    <s v="C14983"/>
    <x v="2"/>
    <x v="2"/>
    <x v="240"/>
    <x v="207"/>
    <x v="1"/>
    <x v="4"/>
    <s v="TRK93444157"/>
    <x v="7"/>
    <x v="1"/>
    <x v="0"/>
    <x v="239"/>
  </r>
  <r>
    <s v="ORD200241"/>
    <x v="220"/>
    <s v="C20817"/>
    <x v="3"/>
    <x v="0"/>
    <x v="241"/>
    <x v="208"/>
    <x v="1"/>
    <x v="4"/>
    <s v="TRK44164590"/>
    <x v="5"/>
    <x v="0"/>
    <x v="2"/>
    <x v="240"/>
  </r>
  <r>
    <s v="ORD200242"/>
    <x v="221"/>
    <s v="C94921"/>
    <x v="4"/>
    <x v="1"/>
    <x v="242"/>
    <x v="209"/>
    <x v="1"/>
    <x v="4"/>
    <s v="TRK97794327"/>
    <x v="4"/>
    <x v="0"/>
    <x v="1"/>
    <x v="241"/>
  </r>
  <r>
    <s v="ORD200243"/>
    <x v="222"/>
    <s v="C54725"/>
    <x v="3"/>
    <x v="1"/>
    <x v="243"/>
    <x v="210"/>
    <x v="1"/>
    <x v="1"/>
    <s v="TRK30601940"/>
    <x v="0"/>
    <x v="1"/>
    <x v="4"/>
    <x v="242"/>
  </r>
  <r>
    <s v="ORD200244"/>
    <x v="223"/>
    <s v="C98096"/>
    <x v="6"/>
    <x v="1"/>
    <x v="244"/>
    <x v="211"/>
    <x v="0"/>
    <x v="1"/>
    <s v="TRK51518631"/>
    <x v="4"/>
    <x v="3"/>
    <x v="3"/>
    <x v="243"/>
  </r>
  <r>
    <s v="ORD200245"/>
    <x v="224"/>
    <s v="C12667"/>
    <x v="5"/>
    <x v="2"/>
    <x v="245"/>
    <x v="212"/>
    <x v="1"/>
    <x v="2"/>
    <s v="TRK25390491"/>
    <x v="9"/>
    <x v="2"/>
    <x v="3"/>
    <x v="244"/>
  </r>
  <r>
    <s v="ORD200246"/>
    <x v="225"/>
    <s v="C55354"/>
    <x v="6"/>
    <x v="1"/>
    <x v="246"/>
    <x v="213"/>
    <x v="3"/>
    <x v="0"/>
    <s v="TRK15439493"/>
    <x v="7"/>
    <x v="3"/>
    <x v="0"/>
    <x v="245"/>
  </r>
  <r>
    <s v="ORD200247"/>
    <x v="145"/>
    <s v="C14600"/>
    <x v="4"/>
    <x v="1"/>
    <x v="247"/>
    <x v="214"/>
    <x v="3"/>
    <x v="0"/>
    <s v="TRK84984764"/>
    <x v="4"/>
    <x v="2"/>
    <x v="2"/>
    <x v="246"/>
  </r>
  <r>
    <s v="ORD200248"/>
    <x v="226"/>
    <s v="C97187"/>
    <x v="5"/>
    <x v="2"/>
    <x v="248"/>
    <x v="215"/>
    <x v="4"/>
    <x v="0"/>
    <s v="TRK62283713"/>
    <x v="5"/>
    <x v="1"/>
    <x v="1"/>
    <x v="247"/>
  </r>
  <r>
    <s v="ORD200249"/>
    <x v="227"/>
    <s v="C39106"/>
    <x v="4"/>
    <x v="2"/>
    <x v="249"/>
    <x v="216"/>
    <x v="4"/>
    <x v="4"/>
    <s v="TRK35464433"/>
    <x v="3"/>
    <x v="1"/>
    <x v="1"/>
    <x v="248"/>
  </r>
  <r>
    <s v="ORD200250"/>
    <x v="228"/>
    <s v="C93379"/>
    <x v="6"/>
    <x v="4"/>
    <x v="250"/>
    <x v="82"/>
    <x v="3"/>
    <x v="2"/>
    <s v="TRK67954150"/>
    <x v="2"/>
    <x v="0"/>
    <x v="2"/>
    <x v="249"/>
  </r>
  <r>
    <s v="ORD200251"/>
    <x v="229"/>
    <s v="C93175"/>
    <x v="0"/>
    <x v="3"/>
    <x v="251"/>
    <x v="217"/>
    <x v="4"/>
    <x v="1"/>
    <s v="TRK32995144"/>
    <x v="6"/>
    <x v="2"/>
    <x v="2"/>
    <x v="250"/>
  </r>
  <r>
    <s v="ORD200252"/>
    <x v="28"/>
    <s v="C19648"/>
    <x v="1"/>
    <x v="3"/>
    <x v="252"/>
    <x v="218"/>
    <x v="3"/>
    <x v="1"/>
    <s v="TRK51297879"/>
    <x v="3"/>
    <x v="1"/>
    <x v="3"/>
    <x v="251"/>
  </r>
  <r>
    <s v="ORD200253"/>
    <x v="230"/>
    <s v="C14891"/>
    <x v="3"/>
    <x v="3"/>
    <x v="253"/>
    <x v="93"/>
    <x v="3"/>
    <x v="2"/>
    <s v="TRK79471534"/>
    <x v="0"/>
    <x v="1"/>
    <x v="0"/>
    <x v="252"/>
  </r>
  <r>
    <s v="ORD200254"/>
    <x v="231"/>
    <s v="C10866"/>
    <x v="0"/>
    <x v="4"/>
    <x v="254"/>
    <x v="205"/>
    <x v="1"/>
    <x v="3"/>
    <s v="TRK34809583"/>
    <x v="3"/>
    <x v="2"/>
    <x v="0"/>
    <x v="253"/>
  </r>
  <r>
    <s v="ORD200255"/>
    <x v="232"/>
    <s v="C47283"/>
    <x v="0"/>
    <x v="2"/>
    <x v="255"/>
    <x v="155"/>
    <x v="3"/>
    <x v="2"/>
    <s v="TRK56235117"/>
    <x v="7"/>
    <x v="0"/>
    <x v="4"/>
    <x v="254"/>
  </r>
  <r>
    <s v="ORD200256"/>
    <x v="233"/>
    <s v="C94323"/>
    <x v="3"/>
    <x v="0"/>
    <x v="256"/>
    <x v="219"/>
    <x v="3"/>
    <x v="2"/>
    <s v="TRK22663277"/>
    <x v="8"/>
    <x v="3"/>
    <x v="0"/>
    <x v="255"/>
  </r>
  <r>
    <s v="ORD200257"/>
    <x v="234"/>
    <s v="C89732"/>
    <x v="1"/>
    <x v="2"/>
    <x v="257"/>
    <x v="220"/>
    <x v="2"/>
    <x v="1"/>
    <s v="TRK41059233"/>
    <x v="3"/>
    <x v="0"/>
    <x v="1"/>
    <x v="256"/>
  </r>
  <r>
    <s v="ORD200258"/>
    <x v="235"/>
    <s v="C87764"/>
    <x v="2"/>
    <x v="1"/>
    <x v="258"/>
    <x v="221"/>
    <x v="1"/>
    <x v="0"/>
    <s v="TRK94082469"/>
    <x v="7"/>
    <x v="1"/>
    <x v="1"/>
    <x v="257"/>
  </r>
  <r>
    <s v="ORD200259"/>
    <x v="236"/>
    <s v="C20977"/>
    <x v="3"/>
    <x v="3"/>
    <x v="259"/>
    <x v="125"/>
    <x v="2"/>
    <x v="3"/>
    <s v="TRK54991561"/>
    <x v="6"/>
    <x v="0"/>
    <x v="0"/>
    <x v="258"/>
  </r>
  <r>
    <s v="ORD200260"/>
    <x v="209"/>
    <s v="C12245"/>
    <x v="0"/>
    <x v="1"/>
    <x v="260"/>
    <x v="222"/>
    <x v="0"/>
    <x v="0"/>
    <s v="TRK22000463"/>
    <x v="1"/>
    <x v="2"/>
    <x v="4"/>
    <x v="259"/>
  </r>
  <r>
    <s v="ORD200261"/>
    <x v="237"/>
    <s v="C68976"/>
    <x v="1"/>
    <x v="0"/>
    <x v="261"/>
    <x v="223"/>
    <x v="3"/>
    <x v="3"/>
    <s v="TRK25491356"/>
    <x v="6"/>
    <x v="0"/>
    <x v="2"/>
    <x v="260"/>
  </r>
  <r>
    <s v="ORD200262"/>
    <x v="238"/>
    <s v="C69476"/>
    <x v="1"/>
    <x v="3"/>
    <x v="262"/>
    <x v="126"/>
    <x v="2"/>
    <x v="2"/>
    <s v="TRK65869386"/>
    <x v="3"/>
    <x v="3"/>
    <x v="1"/>
    <x v="261"/>
  </r>
  <r>
    <s v="ORD200263"/>
    <x v="239"/>
    <s v="C71040"/>
    <x v="1"/>
    <x v="3"/>
    <x v="263"/>
    <x v="224"/>
    <x v="2"/>
    <x v="4"/>
    <s v="TRK41397604"/>
    <x v="4"/>
    <x v="3"/>
    <x v="4"/>
    <x v="262"/>
  </r>
  <r>
    <s v="ORD200264"/>
    <x v="240"/>
    <s v="C71035"/>
    <x v="2"/>
    <x v="2"/>
    <x v="264"/>
    <x v="225"/>
    <x v="4"/>
    <x v="2"/>
    <s v="TRK19599578"/>
    <x v="3"/>
    <x v="1"/>
    <x v="4"/>
    <x v="263"/>
  </r>
  <r>
    <s v="ORD200265"/>
    <x v="241"/>
    <s v="C20752"/>
    <x v="4"/>
    <x v="2"/>
    <x v="265"/>
    <x v="226"/>
    <x v="0"/>
    <x v="1"/>
    <s v="TRK22298450"/>
    <x v="4"/>
    <x v="0"/>
    <x v="4"/>
    <x v="264"/>
  </r>
  <r>
    <s v="ORD200266"/>
    <x v="180"/>
    <s v="C38840"/>
    <x v="3"/>
    <x v="3"/>
    <x v="266"/>
    <x v="227"/>
    <x v="2"/>
    <x v="1"/>
    <s v="TRK48484633"/>
    <x v="5"/>
    <x v="1"/>
    <x v="1"/>
    <x v="265"/>
  </r>
  <r>
    <s v="ORD200267"/>
    <x v="242"/>
    <s v="C84480"/>
    <x v="3"/>
    <x v="0"/>
    <x v="267"/>
    <x v="228"/>
    <x v="0"/>
    <x v="3"/>
    <s v="TRK62361867"/>
    <x v="6"/>
    <x v="2"/>
    <x v="3"/>
    <x v="266"/>
  </r>
  <r>
    <s v="ORD200268"/>
    <x v="178"/>
    <s v="C37032"/>
    <x v="1"/>
    <x v="1"/>
    <x v="268"/>
    <x v="229"/>
    <x v="0"/>
    <x v="3"/>
    <s v="TRK48639226"/>
    <x v="0"/>
    <x v="0"/>
    <x v="1"/>
    <x v="267"/>
  </r>
  <r>
    <s v="ORD200269"/>
    <x v="97"/>
    <s v="C48942"/>
    <x v="2"/>
    <x v="3"/>
    <x v="269"/>
    <x v="67"/>
    <x v="2"/>
    <x v="4"/>
    <s v="TRK29355120"/>
    <x v="0"/>
    <x v="1"/>
    <x v="4"/>
    <x v="268"/>
  </r>
  <r>
    <s v="ORD200270"/>
    <x v="243"/>
    <s v="C13540"/>
    <x v="4"/>
    <x v="3"/>
    <x v="270"/>
    <x v="230"/>
    <x v="0"/>
    <x v="0"/>
    <s v="TRK81087373"/>
    <x v="3"/>
    <x v="3"/>
    <x v="4"/>
    <x v="269"/>
  </r>
  <r>
    <s v="ORD200271"/>
    <x v="125"/>
    <s v="C59572"/>
    <x v="0"/>
    <x v="2"/>
    <x v="271"/>
    <x v="231"/>
    <x v="4"/>
    <x v="0"/>
    <s v="TRK16792991"/>
    <x v="5"/>
    <x v="3"/>
    <x v="1"/>
    <x v="270"/>
  </r>
  <r>
    <s v="ORD200272"/>
    <x v="244"/>
    <s v="C29758"/>
    <x v="3"/>
    <x v="1"/>
    <x v="272"/>
    <x v="232"/>
    <x v="1"/>
    <x v="4"/>
    <s v="TRK12990043"/>
    <x v="5"/>
    <x v="3"/>
    <x v="0"/>
    <x v="271"/>
  </r>
  <r>
    <s v="ORD200273"/>
    <x v="245"/>
    <s v="C11849"/>
    <x v="2"/>
    <x v="1"/>
    <x v="273"/>
    <x v="233"/>
    <x v="1"/>
    <x v="1"/>
    <s v="TRK91195261"/>
    <x v="0"/>
    <x v="1"/>
    <x v="2"/>
    <x v="272"/>
  </r>
  <r>
    <s v="ORD200274"/>
    <x v="246"/>
    <s v="C50967"/>
    <x v="1"/>
    <x v="1"/>
    <x v="274"/>
    <x v="234"/>
    <x v="3"/>
    <x v="1"/>
    <s v="TRK65300814"/>
    <x v="3"/>
    <x v="0"/>
    <x v="1"/>
    <x v="273"/>
  </r>
  <r>
    <s v="ORD200275"/>
    <x v="247"/>
    <s v="C80735"/>
    <x v="3"/>
    <x v="1"/>
    <x v="275"/>
    <x v="235"/>
    <x v="2"/>
    <x v="1"/>
    <s v="TRK99880231"/>
    <x v="4"/>
    <x v="0"/>
    <x v="4"/>
    <x v="274"/>
  </r>
  <r>
    <s v="ORD200276"/>
    <x v="248"/>
    <s v="C99050"/>
    <x v="4"/>
    <x v="1"/>
    <x v="276"/>
    <x v="236"/>
    <x v="0"/>
    <x v="2"/>
    <s v="TRK56927089"/>
    <x v="1"/>
    <x v="3"/>
    <x v="0"/>
    <x v="275"/>
  </r>
  <r>
    <s v="ORD200277"/>
    <x v="82"/>
    <s v="C11210"/>
    <x v="3"/>
    <x v="0"/>
    <x v="277"/>
    <x v="237"/>
    <x v="2"/>
    <x v="3"/>
    <s v="TRK44929965"/>
    <x v="6"/>
    <x v="0"/>
    <x v="3"/>
    <x v="276"/>
  </r>
  <r>
    <s v="ORD200278"/>
    <x v="249"/>
    <s v="C46015"/>
    <x v="5"/>
    <x v="0"/>
    <x v="278"/>
    <x v="238"/>
    <x v="4"/>
    <x v="3"/>
    <s v="TRK46598430"/>
    <x v="5"/>
    <x v="1"/>
    <x v="0"/>
    <x v="277"/>
  </r>
  <r>
    <s v="ORD200279"/>
    <x v="250"/>
    <s v="C69167"/>
    <x v="3"/>
    <x v="4"/>
    <x v="279"/>
    <x v="239"/>
    <x v="1"/>
    <x v="4"/>
    <s v="TRK12425655"/>
    <x v="0"/>
    <x v="3"/>
    <x v="2"/>
    <x v="278"/>
  </r>
  <r>
    <s v="ORD200280"/>
    <x v="14"/>
    <s v="C55388"/>
    <x v="2"/>
    <x v="4"/>
    <x v="280"/>
    <x v="240"/>
    <x v="3"/>
    <x v="3"/>
    <s v="TRK75741001"/>
    <x v="5"/>
    <x v="1"/>
    <x v="0"/>
    <x v="279"/>
  </r>
  <r>
    <s v="ORD200281"/>
    <x v="152"/>
    <s v="C87181"/>
    <x v="6"/>
    <x v="3"/>
    <x v="281"/>
    <x v="241"/>
    <x v="4"/>
    <x v="4"/>
    <s v="TRK60093390"/>
    <x v="6"/>
    <x v="2"/>
    <x v="1"/>
    <x v="280"/>
  </r>
  <r>
    <s v="ORD200282"/>
    <x v="251"/>
    <s v="C30411"/>
    <x v="4"/>
    <x v="3"/>
    <x v="282"/>
    <x v="242"/>
    <x v="3"/>
    <x v="1"/>
    <s v="TRK71810536"/>
    <x v="6"/>
    <x v="1"/>
    <x v="4"/>
    <x v="281"/>
  </r>
  <r>
    <s v="ORD200283"/>
    <x v="252"/>
    <s v="C39638"/>
    <x v="5"/>
    <x v="3"/>
    <x v="283"/>
    <x v="243"/>
    <x v="4"/>
    <x v="0"/>
    <s v="TRK69745608"/>
    <x v="5"/>
    <x v="2"/>
    <x v="4"/>
    <x v="282"/>
  </r>
  <r>
    <s v="ORD200284"/>
    <x v="223"/>
    <s v="C27203"/>
    <x v="5"/>
    <x v="0"/>
    <x v="284"/>
    <x v="244"/>
    <x v="2"/>
    <x v="2"/>
    <s v="TRK22023906"/>
    <x v="5"/>
    <x v="0"/>
    <x v="3"/>
    <x v="283"/>
  </r>
  <r>
    <s v="ORD200285"/>
    <x v="69"/>
    <s v="C67583"/>
    <x v="1"/>
    <x v="2"/>
    <x v="285"/>
    <x v="233"/>
    <x v="1"/>
    <x v="3"/>
    <s v="TRK93281700"/>
    <x v="1"/>
    <x v="2"/>
    <x v="4"/>
    <x v="284"/>
  </r>
  <r>
    <s v="ORD200286"/>
    <x v="253"/>
    <s v="C70554"/>
    <x v="0"/>
    <x v="4"/>
    <x v="286"/>
    <x v="112"/>
    <x v="3"/>
    <x v="2"/>
    <s v="TRK61086952"/>
    <x v="2"/>
    <x v="3"/>
    <x v="4"/>
    <x v="285"/>
  </r>
  <r>
    <s v="ORD200287"/>
    <x v="254"/>
    <s v="C70437"/>
    <x v="3"/>
    <x v="3"/>
    <x v="287"/>
    <x v="245"/>
    <x v="1"/>
    <x v="0"/>
    <s v="TRK26628830"/>
    <x v="3"/>
    <x v="2"/>
    <x v="3"/>
    <x v="286"/>
  </r>
  <r>
    <s v="ORD200288"/>
    <x v="255"/>
    <s v="C97643"/>
    <x v="5"/>
    <x v="3"/>
    <x v="288"/>
    <x v="246"/>
    <x v="0"/>
    <x v="2"/>
    <s v="TRK60831391"/>
    <x v="2"/>
    <x v="3"/>
    <x v="4"/>
    <x v="287"/>
  </r>
  <r>
    <s v="ORD200289"/>
    <x v="256"/>
    <s v="C17136"/>
    <x v="3"/>
    <x v="3"/>
    <x v="289"/>
    <x v="10"/>
    <x v="2"/>
    <x v="0"/>
    <s v="TRK55362541"/>
    <x v="2"/>
    <x v="3"/>
    <x v="1"/>
    <x v="288"/>
  </r>
  <r>
    <s v="ORD200290"/>
    <x v="257"/>
    <s v="C24901"/>
    <x v="3"/>
    <x v="4"/>
    <x v="290"/>
    <x v="165"/>
    <x v="4"/>
    <x v="3"/>
    <s v="TRK14029489"/>
    <x v="2"/>
    <x v="1"/>
    <x v="3"/>
    <x v="289"/>
  </r>
  <r>
    <s v="ORD200291"/>
    <x v="258"/>
    <s v="C61521"/>
    <x v="1"/>
    <x v="1"/>
    <x v="291"/>
    <x v="247"/>
    <x v="2"/>
    <x v="3"/>
    <s v="TRK93676567"/>
    <x v="5"/>
    <x v="1"/>
    <x v="4"/>
    <x v="290"/>
  </r>
  <r>
    <s v="ORD200292"/>
    <x v="259"/>
    <s v="C39639"/>
    <x v="0"/>
    <x v="2"/>
    <x v="292"/>
    <x v="184"/>
    <x v="2"/>
    <x v="3"/>
    <s v="TRK31042152"/>
    <x v="3"/>
    <x v="2"/>
    <x v="3"/>
    <x v="291"/>
  </r>
  <r>
    <s v="ORD200293"/>
    <x v="223"/>
    <s v="C33220"/>
    <x v="2"/>
    <x v="3"/>
    <x v="293"/>
    <x v="248"/>
    <x v="3"/>
    <x v="2"/>
    <s v="TRK40450219"/>
    <x v="6"/>
    <x v="2"/>
    <x v="0"/>
    <x v="292"/>
  </r>
  <r>
    <s v="ORD200294"/>
    <x v="260"/>
    <s v="C65414"/>
    <x v="1"/>
    <x v="1"/>
    <x v="294"/>
    <x v="249"/>
    <x v="1"/>
    <x v="0"/>
    <s v="TRK67562517"/>
    <x v="0"/>
    <x v="0"/>
    <x v="1"/>
    <x v="293"/>
  </r>
  <r>
    <s v="ORD200295"/>
    <x v="261"/>
    <s v="C49009"/>
    <x v="4"/>
    <x v="0"/>
    <x v="295"/>
    <x v="250"/>
    <x v="0"/>
    <x v="1"/>
    <s v="TRK46285799"/>
    <x v="6"/>
    <x v="1"/>
    <x v="2"/>
    <x v="294"/>
  </r>
  <r>
    <s v="ORD200296"/>
    <x v="83"/>
    <s v="C48453"/>
    <x v="6"/>
    <x v="0"/>
    <x v="296"/>
    <x v="48"/>
    <x v="0"/>
    <x v="1"/>
    <s v="TRK52110494"/>
    <x v="8"/>
    <x v="3"/>
    <x v="1"/>
    <x v="295"/>
  </r>
  <r>
    <s v="ORD200297"/>
    <x v="262"/>
    <s v="C68078"/>
    <x v="6"/>
    <x v="1"/>
    <x v="297"/>
    <x v="251"/>
    <x v="2"/>
    <x v="2"/>
    <s v="TRK64862812"/>
    <x v="0"/>
    <x v="0"/>
    <x v="0"/>
    <x v="296"/>
  </r>
  <r>
    <s v="ORD200298"/>
    <x v="263"/>
    <s v="C19402"/>
    <x v="4"/>
    <x v="3"/>
    <x v="298"/>
    <x v="40"/>
    <x v="1"/>
    <x v="1"/>
    <s v="TRK97825212"/>
    <x v="5"/>
    <x v="2"/>
    <x v="2"/>
    <x v="297"/>
  </r>
  <r>
    <s v="ORD200299"/>
    <x v="264"/>
    <s v="C30711"/>
    <x v="0"/>
    <x v="2"/>
    <x v="299"/>
    <x v="252"/>
    <x v="3"/>
    <x v="1"/>
    <s v="TRK42696593"/>
    <x v="7"/>
    <x v="1"/>
    <x v="0"/>
    <x v="298"/>
  </r>
  <r>
    <s v="ORD200300"/>
    <x v="265"/>
    <s v="C39000"/>
    <x v="1"/>
    <x v="2"/>
    <x v="300"/>
    <x v="253"/>
    <x v="0"/>
    <x v="2"/>
    <s v="TRK33753945"/>
    <x v="1"/>
    <x v="1"/>
    <x v="3"/>
    <x v="299"/>
  </r>
  <r>
    <s v="ORD200301"/>
    <x v="67"/>
    <s v="C31105"/>
    <x v="3"/>
    <x v="2"/>
    <x v="301"/>
    <x v="254"/>
    <x v="4"/>
    <x v="1"/>
    <s v="TRK40149095"/>
    <x v="7"/>
    <x v="0"/>
    <x v="2"/>
    <x v="300"/>
  </r>
  <r>
    <s v="ORD200302"/>
    <x v="220"/>
    <s v="C29432"/>
    <x v="3"/>
    <x v="4"/>
    <x v="302"/>
    <x v="255"/>
    <x v="4"/>
    <x v="4"/>
    <s v="TRK44142517"/>
    <x v="4"/>
    <x v="1"/>
    <x v="0"/>
    <x v="301"/>
  </r>
  <r>
    <s v="ORD200303"/>
    <x v="34"/>
    <s v="C48531"/>
    <x v="2"/>
    <x v="2"/>
    <x v="303"/>
    <x v="256"/>
    <x v="0"/>
    <x v="2"/>
    <s v="TRK95462192"/>
    <x v="9"/>
    <x v="2"/>
    <x v="4"/>
    <x v="302"/>
  </r>
  <r>
    <s v="ORD200304"/>
    <x v="266"/>
    <s v="C86762"/>
    <x v="0"/>
    <x v="0"/>
    <x v="304"/>
    <x v="257"/>
    <x v="3"/>
    <x v="3"/>
    <s v="TRK75686292"/>
    <x v="8"/>
    <x v="1"/>
    <x v="0"/>
    <x v="303"/>
  </r>
  <r>
    <s v="ORD200305"/>
    <x v="97"/>
    <s v="C63822"/>
    <x v="5"/>
    <x v="3"/>
    <x v="305"/>
    <x v="258"/>
    <x v="4"/>
    <x v="4"/>
    <s v="TRK59353216"/>
    <x v="6"/>
    <x v="1"/>
    <x v="0"/>
    <x v="304"/>
  </r>
  <r>
    <s v="ORD200306"/>
    <x v="267"/>
    <s v="C70495"/>
    <x v="4"/>
    <x v="1"/>
    <x v="306"/>
    <x v="259"/>
    <x v="0"/>
    <x v="2"/>
    <s v="TRK65511225"/>
    <x v="1"/>
    <x v="0"/>
    <x v="0"/>
    <x v="305"/>
  </r>
  <r>
    <s v="ORD200307"/>
    <x v="268"/>
    <s v="C92407"/>
    <x v="5"/>
    <x v="4"/>
    <x v="307"/>
    <x v="260"/>
    <x v="1"/>
    <x v="3"/>
    <s v="TRK11755610"/>
    <x v="4"/>
    <x v="2"/>
    <x v="2"/>
    <x v="306"/>
  </r>
  <r>
    <s v="ORD200308"/>
    <x v="66"/>
    <s v="C75888"/>
    <x v="4"/>
    <x v="4"/>
    <x v="308"/>
    <x v="156"/>
    <x v="0"/>
    <x v="2"/>
    <s v="TRK98467398"/>
    <x v="0"/>
    <x v="0"/>
    <x v="0"/>
    <x v="307"/>
  </r>
  <r>
    <s v="ORD200309"/>
    <x v="269"/>
    <s v="C63153"/>
    <x v="3"/>
    <x v="3"/>
    <x v="309"/>
    <x v="261"/>
    <x v="0"/>
    <x v="3"/>
    <s v="TRK38033305"/>
    <x v="4"/>
    <x v="1"/>
    <x v="3"/>
    <x v="308"/>
  </r>
  <r>
    <s v="ORD200310"/>
    <x v="270"/>
    <s v="C85863"/>
    <x v="4"/>
    <x v="4"/>
    <x v="310"/>
    <x v="262"/>
    <x v="1"/>
    <x v="0"/>
    <s v="TRK16094218"/>
    <x v="4"/>
    <x v="2"/>
    <x v="1"/>
    <x v="309"/>
  </r>
  <r>
    <s v="ORD200311"/>
    <x v="271"/>
    <s v="C71698"/>
    <x v="6"/>
    <x v="0"/>
    <x v="311"/>
    <x v="263"/>
    <x v="1"/>
    <x v="2"/>
    <s v="TRK34786818"/>
    <x v="2"/>
    <x v="2"/>
    <x v="0"/>
    <x v="310"/>
  </r>
  <r>
    <s v="ORD200312"/>
    <x v="272"/>
    <s v="C35397"/>
    <x v="4"/>
    <x v="0"/>
    <x v="312"/>
    <x v="196"/>
    <x v="3"/>
    <x v="4"/>
    <s v="TRK64742535"/>
    <x v="0"/>
    <x v="1"/>
    <x v="1"/>
    <x v="311"/>
  </r>
  <r>
    <s v="ORD200313"/>
    <x v="273"/>
    <s v="C67687"/>
    <x v="3"/>
    <x v="1"/>
    <x v="313"/>
    <x v="264"/>
    <x v="4"/>
    <x v="3"/>
    <s v="TRK22838735"/>
    <x v="0"/>
    <x v="0"/>
    <x v="0"/>
    <x v="312"/>
  </r>
  <r>
    <s v="ORD200314"/>
    <x v="274"/>
    <s v="C29931"/>
    <x v="6"/>
    <x v="3"/>
    <x v="314"/>
    <x v="265"/>
    <x v="1"/>
    <x v="3"/>
    <s v="TRK48712417"/>
    <x v="4"/>
    <x v="1"/>
    <x v="1"/>
    <x v="313"/>
  </r>
  <r>
    <s v="ORD200315"/>
    <x v="275"/>
    <s v="C59139"/>
    <x v="2"/>
    <x v="0"/>
    <x v="315"/>
    <x v="266"/>
    <x v="1"/>
    <x v="1"/>
    <s v="TRK45507090"/>
    <x v="6"/>
    <x v="1"/>
    <x v="2"/>
    <x v="314"/>
  </r>
  <r>
    <s v="ORD200316"/>
    <x v="276"/>
    <s v="C66078"/>
    <x v="6"/>
    <x v="3"/>
    <x v="316"/>
    <x v="267"/>
    <x v="3"/>
    <x v="0"/>
    <s v="TRK86474559"/>
    <x v="6"/>
    <x v="3"/>
    <x v="3"/>
    <x v="315"/>
  </r>
  <r>
    <s v="ORD200317"/>
    <x v="132"/>
    <s v="C88370"/>
    <x v="0"/>
    <x v="1"/>
    <x v="317"/>
    <x v="268"/>
    <x v="1"/>
    <x v="2"/>
    <s v="TRK22575151"/>
    <x v="3"/>
    <x v="2"/>
    <x v="0"/>
    <x v="316"/>
  </r>
  <r>
    <s v="ORD200318"/>
    <x v="277"/>
    <s v="C93375"/>
    <x v="3"/>
    <x v="4"/>
    <x v="318"/>
    <x v="186"/>
    <x v="0"/>
    <x v="1"/>
    <s v="TRK95706967"/>
    <x v="0"/>
    <x v="0"/>
    <x v="4"/>
    <x v="317"/>
  </r>
  <r>
    <s v="ORD200319"/>
    <x v="278"/>
    <s v="C53049"/>
    <x v="5"/>
    <x v="1"/>
    <x v="319"/>
    <x v="269"/>
    <x v="4"/>
    <x v="2"/>
    <s v="TRK48974907"/>
    <x v="5"/>
    <x v="2"/>
    <x v="0"/>
    <x v="318"/>
  </r>
  <r>
    <s v="ORD200320"/>
    <x v="36"/>
    <s v="C55590"/>
    <x v="4"/>
    <x v="2"/>
    <x v="320"/>
    <x v="270"/>
    <x v="2"/>
    <x v="0"/>
    <s v="TRK48792951"/>
    <x v="9"/>
    <x v="1"/>
    <x v="3"/>
    <x v="319"/>
  </r>
  <r>
    <s v="ORD200321"/>
    <x v="279"/>
    <s v="C47086"/>
    <x v="1"/>
    <x v="3"/>
    <x v="321"/>
    <x v="260"/>
    <x v="0"/>
    <x v="1"/>
    <s v="TRK44194358"/>
    <x v="5"/>
    <x v="3"/>
    <x v="4"/>
    <x v="320"/>
  </r>
  <r>
    <s v="ORD200322"/>
    <x v="280"/>
    <s v="C48646"/>
    <x v="1"/>
    <x v="0"/>
    <x v="322"/>
    <x v="268"/>
    <x v="0"/>
    <x v="3"/>
    <s v="TRK18233748"/>
    <x v="5"/>
    <x v="0"/>
    <x v="3"/>
    <x v="321"/>
  </r>
  <r>
    <s v="ORD200323"/>
    <x v="281"/>
    <s v="C29416"/>
    <x v="5"/>
    <x v="2"/>
    <x v="323"/>
    <x v="271"/>
    <x v="0"/>
    <x v="2"/>
    <s v="TRK63820842"/>
    <x v="9"/>
    <x v="0"/>
    <x v="1"/>
    <x v="322"/>
  </r>
  <r>
    <s v="ORD200324"/>
    <x v="136"/>
    <s v="C13525"/>
    <x v="2"/>
    <x v="4"/>
    <x v="324"/>
    <x v="272"/>
    <x v="0"/>
    <x v="2"/>
    <s v="TRK70193221"/>
    <x v="3"/>
    <x v="2"/>
    <x v="1"/>
    <x v="323"/>
  </r>
  <r>
    <s v="ORD200325"/>
    <x v="282"/>
    <s v="C53545"/>
    <x v="6"/>
    <x v="4"/>
    <x v="325"/>
    <x v="273"/>
    <x v="2"/>
    <x v="0"/>
    <s v="TRK61123177"/>
    <x v="2"/>
    <x v="2"/>
    <x v="1"/>
    <x v="324"/>
  </r>
  <r>
    <s v="ORD200326"/>
    <x v="283"/>
    <s v="C65986"/>
    <x v="5"/>
    <x v="0"/>
    <x v="326"/>
    <x v="19"/>
    <x v="3"/>
    <x v="2"/>
    <s v="TRK98353867"/>
    <x v="3"/>
    <x v="0"/>
    <x v="3"/>
    <x v="325"/>
  </r>
  <r>
    <s v="ORD200327"/>
    <x v="284"/>
    <s v="C17302"/>
    <x v="1"/>
    <x v="2"/>
    <x v="327"/>
    <x v="61"/>
    <x v="3"/>
    <x v="1"/>
    <s v="TRK43940016"/>
    <x v="3"/>
    <x v="0"/>
    <x v="2"/>
    <x v="326"/>
  </r>
  <r>
    <s v="ORD200328"/>
    <x v="285"/>
    <s v="C18404"/>
    <x v="2"/>
    <x v="0"/>
    <x v="328"/>
    <x v="274"/>
    <x v="1"/>
    <x v="1"/>
    <s v="TRK89401624"/>
    <x v="0"/>
    <x v="0"/>
    <x v="4"/>
    <x v="327"/>
  </r>
  <r>
    <s v="ORD200329"/>
    <x v="286"/>
    <s v="C88371"/>
    <x v="3"/>
    <x v="3"/>
    <x v="329"/>
    <x v="212"/>
    <x v="2"/>
    <x v="0"/>
    <s v="TRK63224811"/>
    <x v="5"/>
    <x v="2"/>
    <x v="4"/>
    <x v="328"/>
  </r>
  <r>
    <s v="ORD200330"/>
    <x v="287"/>
    <s v="C38068"/>
    <x v="6"/>
    <x v="0"/>
    <x v="330"/>
    <x v="275"/>
    <x v="3"/>
    <x v="4"/>
    <s v="TRK54059198"/>
    <x v="3"/>
    <x v="0"/>
    <x v="0"/>
    <x v="329"/>
  </r>
  <r>
    <s v="ORD200331"/>
    <x v="288"/>
    <s v="C78724"/>
    <x v="4"/>
    <x v="4"/>
    <x v="331"/>
    <x v="112"/>
    <x v="1"/>
    <x v="3"/>
    <s v="TRK25703134"/>
    <x v="0"/>
    <x v="0"/>
    <x v="3"/>
    <x v="330"/>
  </r>
  <r>
    <s v="ORD200332"/>
    <x v="289"/>
    <s v="C26163"/>
    <x v="6"/>
    <x v="0"/>
    <x v="332"/>
    <x v="276"/>
    <x v="0"/>
    <x v="4"/>
    <s v="TRK67499316"/>
    <x v="6"/>
    <x v="0"/>
    <x v="4"/>
    <x v="331"/>
  </r>
  <r>
    <s v="ORD200333"/>
    <x v="162"/>
    <s v="C87124"/>
    <x v="1"/>
    <x v="2"/>
    <x v="333"/>
    <x v="277"/>
    <x v="2"/>
    <x v="2"/>
    <s v="TRK52086740"/>
    <x v="3"/>
    <x v="3"/>
    <x v="0"/>
    <x v="332"/>
  </r>
  <r>
    <s v="ORD200334"/>
    <x v="290"/>
    <s v="C90348"/>
    <x v="3"/>
    <x v="3"/>
    <x v="334"/>
    <x v="278"/>
    <x v="1"/>
    <x v="3"/>
    <s v="TRK20635777"/>
    <x v="0"/>
    <x v="3"/>
    <x v="3"/>
    <x v="333"/>
  </r>
  <r>
    <s v="ORD200335"/>
    <x v="291"/>
    <s v="C58721"/>
    <x v="2"/>
    <x v="4"/>
    <x v="335"/>
    <x v="264"/>
    <x v="3"/>
    <x v="0"/>
    <s v="TRK34801199"/>
    <x v="4"/>
    <x v="2"/>
    <x v="2"/>
    <x v="334"/>
  </r>
  <r>
    <s v="ORD200336"/>
    <x v="10"/>
    <s v="C88174"/>
    <x v="5"/>
    <x v="2"/>
    <x v="336"/>
    <x v="279"/>
    <x v="0"/>
    <x v="4"/>
    <s v="TRK10143345"/>
    <x v="4"/>
    <x v="0"/>
    <x v="0"/>
    <x v="335"/>
  </r>
  <r>
    <s v="ORD200337"/>
    <x v="292"/>
    <s v="C77763"/>
    <x v="2"/>
    <x v="4"/>
    <x v="337"/>
    <x v="280"/>
    <x v="0"/>
    <x v="2"/>
    <s v="TRK66980447"/>
    <x v="2"/>
    <x v="3"/>
    <x v="2"/>
    <x v="336"/>
  </r>
  <r>
    <s v="ORD200338"/>
    <x v="293"/>
    <s v="C53627"/>
    <x v="1"/>
    <x v="0"/>
    <x v="338"/>
    <x v="281"/>
    <x v="0"/>
    <x v="0"/>
    <s v="TRK64112352"/>
    <x v="8"/>
    <x v="2"/>
    <x v="1"/>
    <x v="337"/>
  </r>
  <r>
    <s v="ORD200339"/>
    <x v="294"/>
    <s v="C84563"/>
    <x v="4"/>
    <x v="1"/>
    <x v="339"/>
    <x v="282"/>
    <x v="1"/>
    <x v="4"/>
    <s v="TRK62422797"/>
    <x v="1"/>
    <x v="0"/>
    <x v="0"/>
    <x v="338"/>
  </r>
  <r>
    <s v="ORD200340"/>
    <x v="295"/>
    <s v="C76207"/>
    <x v="5"/>
    <x v="0"/>
    <x v="340"/>
    <x v="283"/>
    <x v="4"/>
    <x v="1"/>
    <s v="TRK25569378"/>
    <x v="2"/>
    <x v="2"/>
    <x v="2"/>
    <x v="339"/>
  </r>
  <r>
    <s v="ORD200341"/>
    <x v="296"/>
    <s v="C94671"/>
    <x v="2"/>
    <x v="2"/>
    <x v="341"/>
    <x v="284"/>
    <x v="3"/>
    <x v="0"/>
    <s v="TRK61357272"/>
    <x v="3"/>
    <x v="3"/>
    <x v="2"/>
    <x v="340"/>
  </r>
  <r>
    <s v="ORD200342"/>
    <x v="53"/>
    <s v="C69994"/>
    <x v="0"/>
    <x v="0"/>
    <x v="342"/>
    <x v="285"/>
    <x v="3"/>
    <x v="2"/>
    <s v="TRK95935805"/>
    <x v="3"/>
    <x v="2"/>
    <x v="1"/>
    <x v="341"/>
  </r>
  <r>
    <s v="ORD200343"/>
    <x v="297"/>
    <s v="C64638"/>
    <x v="4"/>
    <x v="2"/>
    <x v="343"/>
    <x v="286"/>
    <x v="0"/>
    <x v="4"/>
    <s v="TRK64087938"/>
    <x v="1"/>
    <x v="1"/>
    <x v="3"/>
    <x v="342"/>
  </r>
  <r>
    <s v="ORD200344"/>
    <x v="298"/>
    <s v="C95623"/>
    <x v="2"/>
    <x v="4"/>
    <x v="344"/>
    <x v="287"/>
    <x v="1"/>
    <x v="1"/>
    <s v="TRK67558189"/>
    <x v="1"/>
    <x v="0"/>
    <x v="0"/>
    <x v="343"/>
  </r>
  <r>
    <s v="ORD200345"/>
    <x v="173"/>
    <s v="C24751"/>
    <x v="2"/>
    <x v="0"/>
    <x v="345"/>
    <x v="288"/>
    <x v="3"/>
    <x v="0"/>
    <s v="TRK37285406"/>
    <x v="8"/>
    <x v="1"/>
    <x v="1"/>
    <x v="344"/>
  </r>
  <r>
    <s v="ORD200346"/>
    <x v="299"/>
    <s v="C31764"/>
    <x v="2"/>
    <x v="2"/>
    <x v="346"/>
    <x v="289"/>
    <x v="4"/>
    <x v="4"/>
    <s v="TRK44680433"/>
    <x v="5"/>
    <x v="2"/>
    <x v="1"/>
    <x v="345"/>
  </r>
  <r>
    <s v="ORD200347"/>
    <x v="300"/>
    <s v="C83556"/>
    <x v="4"/>
    <x v="3"/>
    <x v="347"/>
    <x v="290"/>
    <x v="2"/>
    <x v="4"/>
    <s v="TRK21109187"/>
    <x v="3"/>
    <x v="0"/>
    <x v="4"/>
    <x v="346"/>
  </r>
  <r>
    <s v="ORD200348"/>
    <x v="206"/>
    <s v="C24369"/>
    <x v="5"/>
    <x v="4"/>
    <x v="348"/>
    <x v="291"/>
    <x v="0"/>
    <x v="2"/>
    <s v="TRK72633998"/>
    <x v="0"/>
    <x v="1"/>
    <x v="2"/>
    <x v="347"/>
  </r>
  <r>
    <s v="ORD200349"/>
    <x v="115"/>
    <s v="C39648"/>
    <x v="3"/>
    <x v="2"/>
    <x v="349"/>
    <x v="292"/>
    <x v="3"/>
    <x v="3"/>
    <s v="TRK56016905"/>
    <x v="7"/>
    <x v="1"/>
    <x v="4"/>
    <x v="348"/>
  </r>
  <r>
    <s v="ORD200350"/>
    <x v="301"/>
    <s v="C13296"/>
    <x v="3"/>
    <x v="1"/>
    <x v="350"/>
    <x v="293"/>
    <x v="1"/>
    <x v="0"/>
    <s v="TRK60127216"/>
    <x v="5"/>
    <x v="2"/>
    <x v="0"/>
    <x v="349"/>
  </r>
  <r>
    <s v="ORD200351"/>
    <x v="302"/>
    <s v="C94248"/>
    <x v="5"/>
    <x v="2"/>
    <x v="351"/>
    <x v="294"/>
    <x v="0"/>
    <x v="3"/>
    <s v="TRK89406816"/>
    <x v="4"/>
    <x v="2"/>
    <x v="0"/>
    <x v="350"/>
  </r>
  <r>
    <s v="ORD200352"/>
    <x v="303"/>
    <s v="C26637"/>
    <x v="3"/>
    <x v="0"/>
    <x v="352"/>
    <x v="295"/>
    <x v="0"/>
    <x v="4"/>
    <s v="TRK59546992"/>
    <x v="2"/>
    <x v="3"/>
    <x v="0"/>
    <x v="351"/>
  </r>
  <r>
    <s v="ORD200353"/>
    <x v="210"/>
    <s v="C16012"/>
    <x v="2"/>
    <x v="2"/>
    <x v="353"/>
    <x v="296"/>
    <x v="1"/>
    <x v="3"/>
    <s v="TRK15195225"/>
    <x v="3"/>
    <x v="1"/>
    <x v="4"/>
    <x v="352"/>
  </r>
  <r>
    <s v="ORD200354"/>
    <x v="304"/>
    <s v="C31772"/>
    <x v="1"/>
    <x v="2"/>
    <x v="354"/>
    <x v="297"/>
    <x v="0"/>
    <x v="0"/>
    <s v="TRK11970357"/>
    <x v="4"/>
    <x v="2"/>
    <x v="0"/>
    <x v="353"/>
  </r>
  <r>
    <s v="ORD200355"/>
    <x v="305"/>
    <s v="C18353"/>
    <x v="2"/>
    <x v="4"/>
    <x v="355"/>
    <x v="298"/>
    <x v="2"/>
    <x v="1"/>
    <s v="TRK78766533"/>
    <x v="4"/>
    <x v="1"/>
    <x v="1"/>
    <x v="354"/>
  </r>
  <r>
    <s v="ORD200356"/>
    <x v="306"/>
    <s v="C26966"/>
    <x v="4"/>
    <x v="0"/>
    <x v="356"/>
    <x v="299"/>
    <x v="3"/>
    <x v="1"/>
    <s v="TRK83889574"/>
    <x v="8"/>
    <x v="1"/>
    <x v="0"/>
    <x v="355"/>
  </r>
  <r>
    <s v="ORD200357"/>
    <x v="307"/>
    <s v="C74982"/>
    <x v="5"/>
    <x v="0"/>
    <x v="357"/>
    <x v="282"/>
    <x v="0"/>
    <x v="3"/>
    <s v="TRK98700702"/>
    <x v="2"/>
    <x v="1"/>
    <x v="0"/>
    <x v="356"/>
  </r>
  <r>
    <s v="ORD200358"/>
    <x v="158"/>
    <s v="C70633"/>
    <x v="2"/>
    <x v="1"/>
    <x v="358"/>
    <x v="300"/>
    <x v="1"/>
    <x v="1"/>
    <s v="TRK82540521"/>
    <x v="1"/>
    <x v="0"/>
    <x v="4"/>
    <x v="357"/>
  </r>
  <r>
    <s v="ORD200359"/>
    <x v="308"/>
    <s v="C95643"/>
    <x v="6"/>
    <x v="3"/>
    <x v="359"/>
    <x v="301"/>
    <x v="0"/>
    <x v="3"/>
    <s v="TRK23286689"/>
    <x v="3"/>
    <x v="3"/>
    <x v="1"/>
    <x v="358"/>
  </r>
  <r>
    <s v="ORD200360"/>
    <x v="309"/>
    <s v="C53810"/>
    <x v="1"/>
    <x v="3"/>
    <x v="360"/>
    <x v="302"/>
    <x v="4"/>
    <x v="4"/>
    <s v="TRK34630612"/>
    <x v="2"/>
    <x v="2"/>
    <x v="0"/>
    <x v="359"/>
  </r>
  <r>
    <s v="ORD200361"/>
    <x v="310"/>
    <s v="C53464"/>
    <x v="4"/>
    <x v="0"/>
    <x v="361"/>
    <x v="303"/>
    <x v="2"/>
    <x v="3"/>
    <s v="TRK32743531"/>
    <x v="6"/>
    <x v="0"/>
    <x v="3"/>
    <x v="360"/>
  </r>
  <r>
    <s v="ORD200362"/>
    <x v="78"/>
    <s v="C53697"/>
    <x v="0"/>
    <x v="3"/>
    <x v="362"/>
    <x v="304"/>
    <x v="4"/>
    <x v="1"/>
    <s v="TRK60476656"/>
    <x v="3"/>
    <x v="3"/>
    <x v="0"/>
    <x v="361"/>
  </r>
  <r>
    <s v="ORD200363"/>
    <x v="75"/>
    <s v="C31668"/>
    <x v="5"/>
    <x v="0"/>
    <x v="363"/>
    <x v="42"/>
    <x v="2"/>
    <x v="4"/>
    <s v="TRK42584392"/>
    <x v="5"/>
    <x v="0"/>
    <x v="2"/>
    <x v="362"/>
  </r>
  <r>
    <s v="ORD200364"/>
    <x v="254"/>
    <s v="C85282"/>
    <x v="1"/>
    <x v="0"/>
    <x v="364"/>
    <x v="240"/>
    <x v="4"/>
    <x v="1"/>
    <s v="TRK86767206"/>
    <x v="6"/>
    <x v="1"/>
    <x v="3"/>
    <x v="363"/>
  </r>
  <r>
    <s v="ORD200365"/>
    <x v="311"/>
    <s v="C56796"/>
    <x v="1"/>
    <x v="2"/>
    <x v="365"/>
    <x v="276"/>
    <x v="2"/>
    <x v="1"/>
    <s v="TRK74263180"/>
    <x v="4"/>
    <x v="0"/>
    <x v="1"/>
    <x v="364"/>
  </r>
  <r>
    <s v="ORD200366"/>
    <x v="312"/>
    <s v="C95213"/>
    <x v="4"/>
    <x v="4"/>
    <x v="366"/>
    <x v="305"/>
    <x v="0"/>
    <x v="4"/>
    <s v="TRK40630538"/>
    <x v="2"/>
    <x v="2"/>
    <x v="1"/>
    <x v="365"/>
  </r>
  <r>
    <s v="ORD200367"/>
    <x v="313"/>
    <s v="C13108"/>
    <x v="5"/>
    <x v="0"/>
    <x v="367"/>
    <x v="220"/>
    <x v="3"/>
    <x v="4"/>
    <s v="TRK82284400"/>
    <x v="8"/>
    <x v="1"/>
    <x v="0"/>
    <x v="366"/>
  </r>
  <r>
    <s v="ORD200368"/>
    <x v="31"/>
    <s v="C85322"/>
    <x v="0"/>
    <x v="4"/>
    <x v="368"/>
    <x v="306"/>
    <x v="2"/>
    <x v="1"/>
    <s v="TRK89728869"/>
    <x v="5"/>
    <x v="2"/>
    <x v="4"/>
    <x v="367"/>
  </r>
  <r>
    <s v="ORD200369"/>
    <x v="70"/>
    <s v="C43545"/>
    <x v="0"/>
    <x v="0"/>
    <x v="369"/>
    <x v="307"/>
    <x v="3"/>
    <x v="4"/>
    <s v="TRK73937402"/>
    <x v="6"/>
    <x v="0"/>
    <x v="2"/>
    <x v="368"/>
  </r>
  <r>
    <s v="ORD200370"/>
    <x v="120"/>
    <s v="C80649"/>
    <x v="1"/>
    <x v="2"/>
    <x v="370"/>
    <x v="308"/>
    <x v="1"/>
    <x v="1"/>
    <s v="TRK41143313"/>
    <x v="4"/>
    <x v="3"/>
    <x v="3"/>
    <x v="369"/>
  </r>
  <r>
    <s v="ORD200371"/>
    <x v="314"/>
    <s v="C59752"/>
    <x v="1"/>
    <x v="0"/>
    <x v="371"/>
    <x v="12"/>
    <x v="3"/>
    <x v="4"/>
    <s v="TRK82229639"/>
    <x v="6"/>
    <x v="1"/>
    <x v="4"/>
    <x v="370"/>
  </r>
  <r>
    <s v="ORD200372"/>
    <x v="311"/>
    <s v="C53645"/>
    <x v="3"/>
    <x v="4"/>
    <x v="372"/>
    <x v="309"/>
    <x v="4"/>
    <x v="2"/>
    <s v="TRK12123939"/>
    <x v="4"/>
    <x v="2"/>
    <x v="1"/>
    <x v="371"/>
  </r>
  <r>
    <s v="ORD200373"/>
    <x v="315"/>
    <s v="C60178"/>
    <x v="5"/>
    <x v="4"/>
    <x v="373"/>
    <x v="310"/>
    <x v="4"/>
    <x v="4"/>
    <s v="TRK84505143"/>
    <x v="4"/>
    <x v="1"/>
    <x v="0"/>
    <x v="372"/>
  </r>
  <r>
    <s v="ORD200374"/>
    <x v="316"/>
    <s v="C20286"/>
    <x v="0"/>
    <x v="2"/>
    <x v="374"/>
    <x v="67"/>
    <x v="3"/>
    <x v="4"/>
    <s v="TRK67648338"/>
    <x v="9"/>
    <x v="3"/>
    <x v="0"/>
    <x v="373"/>
  </r>
  <r>
    <s v="ORD200375"/>
    <x v="317"/>
    <s v="C87547"/>
    <x v="0"/>
    <x v="3"/>
    <x v="375"/>
    <x v="311"/>
    <x v="1"/>
    <x v="0"/>
    <s v="TRK71027262"/>
    <x v="2"/>
    <x v="1"/>
    <x v="3"/>
    <x v="374"/>
  </r>
  <r>
    <s v="ORD200376"/>
    <x v="318"/>
    <s v="C64549"/>
    <x v="0"/>
    <x v="0"/>
    <x v="376"/>
    <x v="312"/>
    <x v="0"/>
    <x v="4"/>
    <s v="TRK20788231"/>
    <x v="5"/>
    <x v="1"/>
    <x v="3"/>
    <x v="375"/>
  </r>
  <r>
    <s v="ORD200377"/>
    <x v="319"/>
    <s v="C24884"/>
    <x v="0"/>
    <x v="2"/>
    <x v="377"/>
    <x v="261"/>
    <x v="1"/>
    <x v="4"/>
    <s v="TRK44538419"/>
    <x v="3"/>
    <x v="3"/>
    <x v="0"/>
    <x v="376"/>
  </r>
  <r>
    <s v="ORD200378"/>
    <x v="320"/>
    <s v="C62666"/>
    <x v="3"/>
    <x v="0"/>
    <x v="378"/>
    <x v="313"/>
    <x v="2"/>
    <x v="4"/>
    <s v="TRK91029390"/>
    <x v="2"/>
    <x v="3"/>
    <x v="0"/>
    <x v="377"/>
  </r>
  <r>
    <s v="ORD200379"/>
    <x v="321"/>
    <s v="C47284"/>
    <x v="1"/>
    <x v="4"/>
    <x v="379"/>
    <x v="161"/>
    <x v="1"/>
    <x v="0"/>
    <s v="TRK85756094"/>
    <x v="5"/>
    <x v="2"/>
    <x v="4"/>
    <x v="378"/>
  </r>
  <r>
    <s v="ORD200380"/>
    <x v="322"/>
    <s v="C35355"/>
    <x v="4"/>
    <x v="3"/>
    <x v="380"/>
    <x v="230"/>
    <x v="4"/>
    <x v="4"/>
    <s v="TRK52935059"/>
    <x v="3"/>
    <x v="0"/>
    <x v="0"/>
    <x v="379"/>
  </r>
  <r>
    <s v="ORD200381"/>
    <x v="323"/>
    <s v="C29467"/>
    <x v="3"/>
    <x v="2"/>
    <x v="381"/>
    <x v="44"/>
    <x v="2"/>
    <x v="2"/>
    <s v="TRK98103385"/>
    <x v="9"/>
    <x v="1"/>
    <x v="0"/>
    <x v="380"/>
  </r>
  <r>
    <s v="ORD200382"/>
    <x v="324"/>
    <s v="C26718"/>
    <x v="4"/>
    <x v="3"/>
    <x v="382"/>
    <x v="314"/>
    <x v="0"/>
    <x v="0"/>
    <s v="TRK91702525"/>
    <x v="2"/>
    <x v="0"/>
    <x v="4"/>
    <x v="381"/>
  </r>
  <r>
    <s v="ORD200383"/>
    <x v="325"/>
    <s v="C18944"/>
    <x v="3"/>
    <x v="3"/>
    <x v="383"/>
    <x v="87"/>
    <x v="2"/>
    <x v="4"/>
    <s v="TRK45275439"/>
    <x v="0"/>
    <x v="0"/>
    <x v="2"/>
    <x v="382"/>
  </r>
  <r>
    <s v="ORD200384"/>
    <x v="167"/>
    <s v="C35628"/>
    <x v="3"/>
    <x v="4"/>
    <x v="384"/>
    <x v="315"/>
    <x v="2"/>
    <x v="2"/>
    <s v="TRK45688220"/>
    <x v="4"/>
    <x v="1"/>
    <x v="3"/>
    <x v="383"/>
  </r>
  <r>
    <s v="ORD200385"/>
    <x v="150"/>
    <s v="C56851"/>
    <x v="3"/>
    <x v="0"/>
    <x v="385"/>
    <x v="60"/>
    <x v="3"/>
    <x v="3"/>
    <s v="TRK65290904"/>
    <x v="5"/>
    <x v="1"/>
    <x v="3"/>
    <x v="384"/>
  </r>
  <r>
    <s v="ORD200386"/>
    <x v="200"/>
    <s v="C12421"/>
    <x v="2"/>
    <x v="2"/>
    <x v="386"/>
    <x v="316"/>
    <x v="1"/>
    <x v="2"/>
    <s v="TRK32588504"/>
    <x v="4"/>
    <x v="2"/>
    <x v="2"/>
    <x v="385"/>
  </r>
  <r>
    <s v="ORD200387"/>
    <x v="326"/>
    <s v="C25316"/>
    <x v="4"/>
    <x v="1"/>
    <x v="387"/>
    <x v="8"/>
    <x v="2"/>
    <x v="0"/>
    <s v="TRK55423551"/>
    <x v="1"/>
    <x v="3"/>
    <x v="4"/>
    <x v="386"/>
  </r>
  <r>
    <s v="ORD200388"/>
    <x v="153"/>
    <s v="C22657"/>
    <x v="4"/>
    <x v="4"/>
    <x v="388"/>
    <x v="94"/>
    <x v="4"/>
    <x v="4"/>
    <s v="TRK49157047"/>
    <x v="0"/>
    <x v="3"/>
    <x v="3"/>
    <x v="387"/>
  </r>
  <r>
    <s v="ORD200389"/>
    <x v="327"/>
    <s v="C29703"/>
    <x v="6"/>
    <x v="3"/>
    <x v="389"/>
    <x v="317"/>
    <x v="4"/>
    <x v="0"/>
    <s v="TRK40543461"/>
    <x v="0"/>
    <x v="1"/>
    <x v="1"/>
    <x v="388"/>
  </r>
  <r>
    <s v="ORD200390"/>
    <x v="328"/>
    <s v="C55996"/>
    <x v="4"/>
    <x v="0"/>
    <x v="390"/>
    <x v="291"/>
    <x v="4"/>
    <x v="3"/>
    <s v="TRK30547638"/>
    <x v="8"/>
    <x v="1"/>
    <x v="4"/>
    <x v="389"/>
  </r>
  <r>
    <s v="ORD200391"/>
    <x v="317"/>
    <s v="C60037"/>
    <x v="5"/>
    <x v="1"/>
    <x v="391"/>
    <x v="244"/>
    <x v="0"/>
    <x v="1"/>
    <s v="TRK82009557"/>
    <x v="1"/>
    <x v="1"/>
    <x v="1"/>
    <x v="390"/>
  </r>
  <r>
    <s v="ORD200392"/>
    <x v="329"/>
    <s v="C95100"/>
    <x v="1"/>
    <x v="2"/>
    <x v="392"/>
    <x v="303"/>
    <x v="1"/>
    <x v="3"/>
    <s v="TRK47366265"/>
    <x v="9"/>
    <x v="3"/>
    <x v="2"/>
    <x v="391"/>
  </r>
  <r>
    <s v="ORD200393"/>
    <x v="330"/>
    <s v="C39906"/>
    <x v="4"/>
    <x v="2"/>
    <x v="393"/>
    <x v="318"/>
    <x v="2"/>
    <x v="2"/>
    <s v="TRK24632134"/>
    <x v="1"/>
    <x v="2"/>
    <x v="4"/>
    <x v="392"/>
  </r>
  <r>
    <s v="ORD200394"/>
    <x v="176"/>
    <s v="C70148"/>
    <x v="6"/>
    <x v="0"/>
    <x v="394"/>
    <x v="319"/>
    <x v="3"/>
    <x v="0"/>
    <s v="TRK34848650"/>
    <x v="8"/>
    <x v="2"/>
    <x v="3"/>
    <x v="393"/>
  </r>
  <r>
    <s v="ORD200395"/>
    <x v="331"/>
    <s v="C30010"/>
    <x v="1"/>
    <x v="4"/>
    <x v="395"/>
    <x v="32"/>
    <x v="3"/>
    <x v="3"/>
    <s v="TRK35386084"/>
    <x v="0"/>
    <x v="0"/>
    <x v="1"/>
    <x v="394"/>
  </r>
  <r>
    <s v="ORD200396"/>
    <x v="142"/>
    <s v="C99217"/>
    <x v="2"/>
    <x v="0"/>
    <x v="396"/>
    <x v="320"/>
    <x v="1"/>
    <x v="0"/>
    <s v="TRK82004594"/>
    <x v="8"/>
    <x v="0"/>
    <x v="2"/>
    <x v="395"/>
  </r>
  <r>
    <s v="ORD200397"/>
    <x v="332"/>
    <s v="C30184"/>
    <x v="0"/>
    <x v="2"/>
    <x v="397"/>
    <x v="321"/>
    <x v="1"/>
    <x v="1"/>
    <s v="TRK86674704"/>
    <x v="9"/>
    <x v="3"/>
    <x v="1"/>
    <x v="396"/>
  </r>
  <r>
    <s v="ORD200398"/>
    <x v="333"/>
    <s v="C50275"/>
    <x v="1"/>
    <x v="0"/>
    <x v="398"/>
    <x v="182"/>
    <x v="3"/>
    <x v="0"/>
    <s v="TRK98925264"/>
    <x v="0"/>
    <x v="0"/>
    <x v="0"/>
    <x v="397"/>
  </r>
  <r>
    <s v="ORD200399"/>
    <x v="334"/>
    <s v="C64641"/>
    <x v="2"/>
    <x v="0"/>
    <x v="399"/>
    <x v="322"/>
    <x v="0"/>
    <x v="2"/>
    <s v="TRK32012588"/>
    <x v="3"/>
    <x v="1"/>
    <x v="3"/>
    <x v="398"/>
  </r>
  <r>
    <s v="ORD200400"/>
    <x v="335"/>
    <s v="C56266"/>
    <x v="6"/>
    <x v="3"/>
    <x v="400"/>
    <x v="323"/>
    <x v="0"/>
    <x v="2"/>
    <s v="TRK60088901"/>
    <x v="6"/>
    <x v="3"/>
    <x v="0"/>
    <x v="399"/>
  </r>
  <r>
    <s v="ORD200401"/>
    <x v="23"/>
    <s v="C98635"/>
    <x v="4"/>
    <x v="2"/>
    <x v="401"/>
    <x v="303"/>
    <x v="0"/>
    <x v="2"/>
    <s v="TRK14225465"/>
    <x v="5"/>
    <x v="2"/>
    <x v="1"/>
    <x v="400"/>
  </r>
  <r>
    <s v="ORD200402"/>
    <x v="336"/>
    <s v="C83026"/>
    <x v="4"/>
    <x v="0"/>
    <x v="402"/>
    <x v="324"/>
    <x v="3"/>
    <x v="0"/>
    <s v="TRK79746259"/>
    <x v="3"/>
    <x v="2"/>
    <x v="1"/>
    <x v="401"/>
  </r>
  <r>
    <s v="ORD200403"/>
    <x v="337"/>
    <s v="C28893"/>
    <x v="2"/>
    <x v="2"/>
    <x v="403"/>
    <x v="240"/>
    <x v="1"/>
    <x v="2"/>
    <s v="TRK98333066"/>
    <x v="9"/>
    <x v="1"/>
    <x v="1"/>
    <x v="402"/>
  </r>
  <r>
    <s v="ORD200404"/>
    <x v="338"/>
    <s v="C45482"/>
    <x v="0"/>
    <x v="1"/>
    <x v="404"/>
    <x v="63"/>
    <x v="4"/>
    <x v="3"/>
    <s v="TRK54571699"/>
    <x v="5"/>
    <x v="2"/>
    <x v="0"/>
    <x v="403"/>
  </r>
  <r>
    <s v="ORD200405"/>
    <x v="281"/>
    <s v="C97774"/>
    <x v="0"/>
    <x v="3"/>
    <x v="405"/>
    <x v="305"/>
    <x v="1"/>
    <x v="1"/>
    <s v="TRK64664424"/>
    <x v="0"/>
    <x v="3"/>
    <x v="2"/>
    <x v="404"/>
  </r>
  <r>
    <s v="ORD200406"/>
    <x v="339"/>
    <s v="C11657"/>
    <x v="2"/>
    <x v="3"/>
    <x v="406"/>
    <x v="167"/>
    <x v="4"/>
    <x v="2"/>
    <s v="TRK50284486"/>
    <x v="6"/>
    <x v="3"/>
    <x v="4"/>
    <x v="405"/>
  </r>
  <r>
    <s v="ORD200407"/>
    <x v="340"/>
    <s v="C85993"/>
    <x v="2"/>
    <x v="3"/>
    <x v="407"/>
    <x v="224"/>
    <x v="4"/>
    <x v="2"/>
    <s v="TRK72547640"/>
    <x v="2"/>
    <x v="1"/>
    <x v="0"/>
    <x v="406"/>
  </r>
  <r>
    <s v="ORD200408"/>
    <x v="341"/>
    <s v="C11906"/>
    <x v="4"/>
    <x v="4"/>
    <x v="408"/>
    <x v="325"/>
    <x v="1"/>
    <x v="4"/>
    <s v="TRK31140158"/>
    <x v="5"/>
    <x v="3"/>
    <x v="4"/>
    <x v="407"/>
  </r>
  <r>
    <s v="ORD200409"/>
    <x v="342"/>
    <s v="C45187"/>
    <x v="6"/>
    <x v="0"/>
    <x v="409"/>
    <x v="326"/>
    <x v="1"/>
    <x v="3"/>
    <s v="TRK12320793"/>
    <x v="6"/>
    <x v="0"/>
    <x v="4"/>
    <x v="408"/>
  </r>
  <r>
    <s v="ORD200410"/>
    <x v="343"/>
    <s v="C37375"/>
    <x v="2"/>
    <x v="1"/>
    <x v="410"/>
    <x v="327"/>
    <x v="0"/>
    <x v="0"/>
    <s v="TRK52470162"/>
    <x v="3"/>
    <x v="2"/>
    <x v="2"/>
    <x v="409"/>
  </r>
  <r>
    <s v="ORD200411"/>
    <x v="83"/>
    <s v="C66567"/>
    <x v="6"/>
    <x v="1"/>
    <x v="411"/>
    <x v="139"/>
    <x v="1"/>
    <x v="0"/>
    <s v="TRK21174822"/>
    <x v="3"/>
    <x v="2"/>
    <x v="3"/>
    <x v="410"/>
  </r>
  <r>
    <s v="ORD200412"/>
    <x v="344"/>
    <s v="C42451"/>
    <x v="2"/>
    <x v="0"/>
    <x v="412"/>
    <x v="328"/>
    <x v="2"/>
    <x v="2"/>
    <s v="TRK31313343"/>
    <x v="8"/>
    <x v="2"/>
    <x v="3"/>
    <x v="411"/>
  </r>
  <r>
    <s v="ORD200413"/>
    <x v="345"/>
    <s v="C13923"/>
    <x v="2"/>
    <x v="2"/>
    <x v="413"/>
    <x v="329"/>
    <x v="1"/>
    <x v="3"/>
    <s v="TRK87598790"/>
    <x v="5"/>
    <x v="0"/>
    <x v="2"/>
    <x v="412"/>
  </r>
  <r>
    <s v="ORD200414"/>
    <x v="346"/>
    <s v="C11829"/>
    <x v="6"/>
    <x v="1"/>
    <x v="414"/>
    <x v="330"/>
    <x v="4"/>
    <x v="3"/>
    <s v="TRK84229257"/>
    <x v="4"/>
    <x v="3"/>
    <x v="3"/>
    <x v="413"/>
  </r>
  <r>
    <s v="ORD200415"/>
    <x v="161"/>
    <s v="C62169"/>
    <x v="3"/>
    <x v="2"/>
    <x v="415"/>
    <x v="229"/>
    <x v="3"/>
    <x v="0"/>
    <s v="TRK64558985"/>
    <x v="3"/>
    <x v="1"/>
    <x v="3"/>
    <x v="414"/>
  </r>
  <r>
    <s v="ORD200416"/>
    <x v="202"/>
    <s v="C20881"/>
    <x v="5"/>
    <x v="1"/>
    <x v="416"/>
    <x v="331"/>
    <x v="3"/>
    <x v="1"/>
    <s v="TRK26263902"/>
    <x v="3"/>
    <x v="3"/>
    <x v="1"/>
    <x v="415"/>
  </r>
  <r>
    <s v="ORD200417"/>
    <x v="347"/>
    <s v="C44492"/>
    <x v="5"/>
    <x v="0"/>
    <x v="417"/>
    <x v="332"/>
    <x v="1"/>
    <x v="1"/>
    <s v="TRK51429869"/>
    <x v="3"/>
    <x v="2"/>
    <x v="4"/>
    <x v="416"/>
  </r>
  <r>
    <s v="ORD200418"/>
    <x v="348"/>
    <s v="C74169"/>
    <x v="4"/>
    <x v="2"/>
    <x v="418"/>
    <x v="333"/>
    <x v="1"/>
    <x v="1"/>
    <s v="TRK66144809"/>
    <x v="1"/>
    <x v="2"/>
    <x v="3"/>
    <x v="417"/>
  </r>
  <r>
    <s v="ORD200419"/>
    <x v="349"/>
    <s v="C70999"/>
    <x v="2"/>
    <x v="1"/>
    <x v="419"/>
    <x v="291"/>
    <x v="0"/>
    <x v="4"/>
    <s v="TRK75644156"/>
    <x v="5"/>
    <x v="1"/>
    <x v="0"/>
    <x v="418"/>
  </r>
  <r>
    <s v="ORD200420"/>
    <x v="350"/>
    <s v="C11921"/>
    <x v="1"/>
    <x v="2"/>
    <x v="420"/>
    <x v="334"/>
    <x v="0"/>
    <x v="0"/>
    <s v="TRK91362635"/>
    <x v="3"/>
    <x v="1"/>
    <x v="0"/>
    <x v="419"/>
  </r>
  <r>
    <s v="ORD200421"/>
    <x v="3"/>
    <s v="C50683"/>
    <x v="3"/>
    <x v="1"/>
    <x v="421"/>
    <x v="335"/>
    <x v="0"/>
    <x v="1"/>
    <s v="TRK53032122"/>
    <x v="3"/>
    <x v="2"/>
    <x v="2"/>
    <x v="420"/>
  </r>
  <r>
    <s v="ORD200422"/>
    <x v="32"/>
    <s v="C76140"/>
    <x v="1"/>
    <x v="3"/>
    <x v="422"/>
    <x v="16"/>
    <x v="3"/>
    <x v="2"/>
    <s v="TRK25861469"/>
    <x v="5"/>
    <x v="3"/>
    <x v="1"/>
    <x v="421"/>
  </r>
  <r>
    <s v="ORD200423"/>
    <x v="351"/>
    <s v="C94311"/>
    <x v="4"/>
    <x v="3"/>
    <x v="423"/>
    <x v="241"/>
    <x v="3"/>
    <x v="1"/>
    <s v="TRK97308771"/>
    <x v="5"/>
    <x v="3"/>
    <x v="4"/>
    <x v="422"/>
  </r>
  <r>
    <s v="ORD200424"/>
    <x v="352"/>
    <s v="C49491"/>
    <x v="3"/>
    <x v="0"/>
    <x v="424"/>
    <x v="268"/>
    <x v="4"/>
    <x v="4"/>
    <s v="TRK64012257"/>
    <x v="8"/>
    <x v="2"/>
    <x v="2"/>
    <x v="423"/>
  </r>
  <r>
    <s v="ORD200425"/>
    <x v="338"/>
    <s v="C40648"/>
    <x v="5"/>
    <x v="1"/>
    <x v="425"/>
    <x v="336"/>
    <x v="3"/>
    <x v="2"/>
    <s v="TRK25325993"/>
    <x v="3"/>
    <x v="3"/>
    <x v="2"/>
    <x v="424"/>
  </r>
  <r>
    <s v="ORD200426"/>
    <x v="353"/>
    <s v="C40967"/>
    <x v="0"/>
    <x v="0"/>
    <x v="426"/>
    <x v="337"/>
    <x v="4"/>
    <x v="1"/>
    <s v="TRK24839296"/>
    <x v="8"/>
    <x v="2"/>
    <x v="3"/>
    <x v="425"/>
  </r>
  <r>
    <s v="ORD200427"/>
    <x v="144"/>
    <s v="C25406"/>
    <x v="6"/>
    <x v="2"/>
    <x v="427"/>
    <x v="338"/>
    <x v="2"/>
    <x v="4"/>
    <s v="TRK70952564"/>
    <x v="1"/>
    <x v="3"/>
    <x v="0"/>
    <x v="426"/>
  </r>
  <r>
    <s v="ORD200428"/>
    <x v="130"/>
    <s v="C77085"/>
    <x v="3"/>
    <x v="3"/>
    <x v="428"/>
    <x v="30"/>
    <x v="1"/>
    <x v="1"/>
    <s v="TRK57227640"/>
    <x v="2"/>
    <x v="3"/>
    <x v="2"/>
    <x v="427"/>
  </r>
  <r>
    <s v="ORD200429"/>
    <x v="36"/>
    <s v="C38126"/>
    <x v="4"/>
    <x v="3"/>
    <x v="429"/>
    <x v="101"/>
    <x v="2"/>
    <x v="4"/>
    <s v="TRK90838498"/>
    <x v="6"/>
    <x v="0"/>
    <x v="3"/>
    <x v="428"/>
  </r>
  <r>
    <s v="ORD200430"/>
    <x v="323"/>
    <s v="C87448"/>
    <x v="1"/>
    <x v="2"/>
    <x v="430"/>
    <x v="339"/>
    <x v="3"/>
    <x v="0"/>
    <s v="TRK44134016"/>
    <x v="5"/>
    <x v="1"/>
    <x v="4"/>
    <x v="429"/>
  </r>
  <r>
    <s v="ORD200431"/>
    <x v="354"/>
    <s v="C62312"/>
    <x v="4"/>
    <x v="2"/>
    <x v="431"/>
    <x v="143"/>
    <x v="0"/>
    <x v="1"/>
    <s v="TRK59623037"/>
    <x v="5"/>
    <x v="3"/>
    <x v="3"/>
    <x v="430"/>
  </r>
  <r>
    <s v="ORD200432"/>
    <x v="355"/>
    <s v="C58443"/>
    <x v="2"/>
    <x v="1"/>
    <x v="432"/>
    <x v="340"/>
    <x v="2"/>
    <x v="2"/>
    <s v="TRK77163738"/>
    <x v="5"/>
    <x v="2"/>
    <x v="1"/>
    <x v="431"/>
  </r>
  <r>
    <s v="ORD200433"/>
    <x v="46"/>
    <s v="C36613"/>
    <x v="0"/>
    <x v="4"/>
    <x v="433"/>
    <x v="214"/>
    <x v="2"/>
    <x v="2"/>
    <s v="TRK13282106"/>
    <x v="1"/>
    <x v="1"/>
    <x v="3"/>
    <x v="432"/>
  </r>
  <r>
    <s v="ORD200434"/>
    <x v="356"/>
    <s v="C73893"/>
    <x v="4"/>
    <x v="0"/>
    <x v="434"/>
    <x v="65"/>
    <x v="2"/>
    <x v="2"/>
    <s v="TRK85939879"/>
    <x v="5"/>
    <x v="2"/>
    <x v="3"/>
    <x v="433"/>
  </r>
  <r>
    <s v="ORD200435"/>
    <x v="156"/>
    <s v="C48601"/>
    <x v="4"/>
    <x v="2"/>
    <x v="435"/>
    <x v="267"/>
    <x v="0"/>
    <x v="2"/>
    <s v="TRK97868309"/>
    <x v="1"/>
    <x v="1"/>
    <x v="0"/>
    <x v="434"/>
  </r>
  <r>
    <s v="ORD200436"/>
    <x v="91"/>
    <s v="C14568"/>
    <x v="5"/>
    <x v="3"/>
    <x v="436"/>
    <x v="143"/>
    <x v="1"/>
    <x v="4"/>
    <s v="TRK73545796"/>
    <x v="3"/>
    <x v="2"/>
    <x v="4"/>
    <x v="435"/>
  </r>
  <r>
    <s v="ORD200437"/>
    <x v="171"/>
    <s v="C63378"/>
    <x v="1"/>
    <x v="2"/>
    <x v="437"/>
    <x v="341"/>
    <x v="1"/>
    <x v="3"/>
    <s v="TRK20863705"/>
    <x v="7"/>
    <x v="1"/>
    <x v="0"/>
    <x v="436"/>
  </r>
  <r>
    <s v="ORD200438"/>
    <x v="195"/>
    <s v="C77800"/>
    <x v="2"/>
    <x v="4"/>
    <x v="438"/>
    <x v="342"/>
    <x v="3"/>
    <x v="4"/>
    <s v="TRK27439574"/>
    <x v="1"/>
    <x v="0"/>
    <x v="0"/>
    <x v="437"/>
  </r>
  <r>
    <s v="ORD200439"/>
    <x v="50"/>
    <s v="C91155"/>
    <x v="2"/>
    <x v="2"/>
    <x v="439"/>
    <x v="343"/>
    <x v="1"/>
    <x v="0"/>
    <s v="TRK36260319"/>
    <x v="4"/>
    <x v="3"/>
    <x v="3"/>
    <x v="438"/>
  </r>
  <r>
    <s v="ORD200440"/>
    <x v="357"/>
    <s v="C60215"/>
    <x v="6"/>
    <x v="3"/>
    <x v="440"/>
    <x v="264"/>
    <x v="0"/>
    <x v="4"/>
    <s v="TRK31727767"/>
    <x v="4"/>
    <x v="0"/>
    <x v="3"/>
    <x v="439"/>
  </r>
  <r>
    <s v="ORD200441"/>
    <x v="141"/>
    <s v="C52915"/>
    <x v="4"/>
    <x v="1"/>
    <x v="441"/>
    <x v="344"/>
    <x v="3"/>
    <x v="2"/>
    <s v="TRK79466982"/>
    <x v="5"/>
    <x v="1"/>
    <x v="2"/>
    <x v="440"/>
  </r>
  <r>
    <s v="ORD200442"/>
    <x v="40"/>
    <s v="C72588"/>
    <x v="3"/>
    <x v="0"/>
    <x v="442"/>
    <x v="345"/>
    <x v="4"/>
    <x v="4"/>
    <s v="TRK43410829"/>
    <x v="2"/>
    <x v="0"/>
    <x v="0"/>
    <x v="441"/>
  </r>
  <r>
    <s v="ORD200443"/>
    <x v="358"/>
    <s v="C61668"/>
    <x v="3"/>
    <x v="1"/>
    <x v="443"/>
    <x v="59"/>
    <x v="4"/>
    <x v="2"/>
    <s v="TRK58970302"/>
    <x v="5"/>
    <x v="2"/>
    <x v="3"/>
    <x v="442"/>
  </r>
  <r>
    <s v="ORD200444"/>
    <x v="180"/>
    <s v="C79508"/>
    <x v="4"/>
    <x v="2"/>
    <x v="444"/>
    <x v="346"/>
    <x v="1"/>
    <x v="0"/>
    <s v="TRK61882353"/>
    <x v="5"/>
    <x v="1"/>
    <x v="0"/>
    <x v="443"/>
  </r>
  <r>
    <s v="ORD200445"/>
    <x v="230"/>
    <s v="C94569"/>
    <x v="1"/>
    <x v="2"/>
    <x v="445"/>
    <x v="347"/>
    <x v="4"/>
    <x v="3"/>
    <s v="TRK31351770"/>
    <x v="1"/>
    <x v="0"/>
    <x v="1"/>
    <x v="444"/>
  </r>
  <r>
    <s v="ORD200446"/>
    <x v="359"/>
    <s v="C89592"/>
    <x v="5"/>
    <x v="0"/>
    <x v="446"/>
    <x v="348"/>
    <x v="1"/>
    <x v="3"/>
    <s v="TRK49442402"/>
    <x v="5"/>
    <x v="1"/>
    <x v="0"/>
    <x v="445"/>
  </r>
  <r>
    <s v="ORD200447"/>
    <x v="158"/>
    <s v="C48207"/>
    <x v="4"/>
    <x v="1"/>
    <x v="447"/>
    <x v="349"/>
    <x v="4"/>
    <x v="2"/>
    <s v="TRK45355655"/>
    <x v="7"/>
    <x v="2"/>
    <x v="3"/>
    <x v="446"/>
  </r>
  <r>
    <s v="ORD200448"/>
    <x v="355"/>
    <s v="C16776"/>
    <x v="5"/>
    <x v="1"/>
    <x v="448"/>
    <x v="350"/>
    <x v="4"/>
    <x v="4"/>
    <s v="TRK12860600"/>
    <x v="4"/>
    <x v="0"/>
    <x v="0"/>
    <x v="447"/>
  </r>
  <r>
    <s v="ORD200449"/>
    <x v="360"/>
    <s v="C91518"/>
    <x v="2"/>
    <x v="4"/>
    <x v="449"/>
    <x v="351"/>
    <x v="1"/>
    <x v="4"/>
    <s v="TRK48688724"/>
    <x v="1"/>
    <x v="2"/>
    <x v="0"/>
    <x v="448"/>
  </r>
  <r>
    <s v="ORD200450"/>
    <x v="361"/>
    <s v="C36408"/>
    <x v="0"/>
    <x v="0"/>
    <x v="450"/>
    <x v="352"/>
    <x v="3"/>
    <x v="2"/>
    <s v="TRK94023253"/>
    <x v="8"/>
    <x v="3"/>
    <x v="0"/>
    <x v="449"/>
  </r>
  <r>
    <s v="ORD200451"/>
    <x v="362"/>
    <s v="C14837"/>
    <x v="0"/>
    <x v="2"/>
    <x v="451"/>
    <x v="97"/>
    <x v="0"/>
    <x v="1"/>
    <s v="TRK17501136"/>
    <x v="5"/>
    <x v="0"/>
    <x v="2"/>
    <x v="450"/>
  </r>
  <r>
    <s v="ORD200452"/>
    <x v="363"/>
    <s v="C36467"/>
    <x v="4"/>
    <x v="2"/>
    <x v="452"/>
    <x v="353"/>
    <x v="4"/>
    <x v="4"/>
    <s v="TRK20863987"/>
    <x v="3"/>
    <x v="0"/>
    <x v="4"/>
    <x v="451"/>
  </r>
  <r>
    <s v="ORD200453"/>
    <x v="201"/>
    <s v="C15017"/>
    <x v="2"/>
    <x v="2"/>
    <x v="453"/>
    <x v="354"/>
    <x v="4"/>
    <x v="0"/>
    <s v="TRK51241924"/>
    <x v="9"/>
    <x v="3"/>
    <x v="3"/>
    <x v="452"/>
  </r>
  <r>
    <s v="ORD200454"/>
    <x v="364"/>
    <s v="C54759"/>
    <x v="5"/>
    <x v="2"/>
    <x v="454"/>
    <x v="355"/>
    <x v="0"/>
    <x v="1"/>
    <s v="TRK75583042"/>
    <x v="3"/>
    <x v="1"/>
    <x v="4"/>
    <x v="453"/>
  </r>
  <r>
    <s v="ORD200455"/>
    <x v="290"/>
    <s v="C58341"/>
    <x v="1"/>
    <x v="2"/>
    <x v="455"/>
    <x v="356"/>
    <x v="0"/>
    <x v="4"/>
    <s v="TRK32856728"/>
    <x v="7"/>
    <x v="0"/>
    <x v="1"/>
    <x v="454"/>
  </r>
  <r>
    <s v="ORD200456"/>
    <x v="365"/>
    <s v="C94479"/>
    <x v="6"/>
    <x v="0"/>
    <x v="456"/>
    <x v="288"/>
    <x v="2"/>
    <x v="0"/>
    <s v="TRK69089975"/>
    <x v="6"/>
    <x v="0"/>
    <x v="3"/>
    <x v="455"/>
  </r>
  <r>
    <s v="ORD200457"/>
    <x v="366"/>
    <s v="C50236"/>
    <x v="6"/>
    <x v="3"/>
    <x v="457"/>
    <x v="357"/>
    <x v="1"/>
    <x v="2"/>
    <s v="TRK67692578"/>
    <x v="4"/>
    <x v="3"/>
    <x v="0"/>
    <x v="456"/>
  </r>
  <r>
    <s v="ORD200458"/>
    <x v="367"/>
    <s v="C31412"/>
    <x v="0"/>
    <x v="3"/>
    <x v="458"/>
    <x v="85"/>
    <x v="2"/>
    <x v="2"/>
    <s v="TRK61946127"/>
    <x v="0"/>
    <x v="3"/>
    <x v="2"/>
    <x v="457"/>
  </r>
  <r>
    <s v="ORD200459"/>
    <x v="25"/>
    <s v="C90142"/>
    <x v="6"/>
    <x v="2"/>
    <x v="459"/>
    <x v="339"/>
    <x v="2"/>
    <x v="2"/>
    <s v="TRK39717191"/>
    <x v="7"/>
    <x v="2"/>
    <x v="0"/>
    <x v="458"/>
  </r>
  <r>
    <s v="ORD200460"/>
    <x v="354"/>
    <s v="C83548"/>
    <x v="5"/>
    <x v="2"/>
    <x v="460"/>
    <x v="358"/>
    <x v="4"/>
    <x v="2"/>
    <s v="TRK93822942"/>
    <x v="7"/>
    <x v="3"/>
    <x v="1"/>
    <x v="459"/>
  </r>
  <r>
    <s v="ORD200461"/>
    <x v="180"/>
    <s v="C29697"/>
    <x v="2"/>
    <x v="2"/>
    <x v="461"/>
    <x v="208"/>
    <x v="2"/>
    <x v="0"/>
    <s v="TRK47776482"/>
    <x v="3"/>
    <x v="1"/>
    <x v="4"/>
    <x v="460"/>
  </r>
  <r>
    <s v="ORD200462"/>
    <x v="368"/>
    <s v="C22991"/>
    <x v="1"/>
    <x v="2"/>
    <x v="462"/>
    <x v="359"/>
    <x v="1"/>
    <x v="1"/>
    <s v="TRK32796086"/>
    <x v="9"/>
    <x v="2"/>
    <x v="1"/>
    <x v="461"/>
  </r>
  <r>
    <s v="ORD200463"/>
    <x v="68"/>
    <s v="C25276"/>
    <x v="5"/>
    <x v="0"/>
    <x v="463"/>
    <x v="360"/>
    <x v="0"/>
    <x v="0"/>
    <s v="TRK14011732"/>
    <x v="6"/>
    <x v="0"/>
    <x v="0"/>
    <x v="462"/>
  </r>
  <r>
    <s v="ORD200464"/>
    <x v="369"/>
    <s v="C39176"/>
    <x v="2"/>
    <x v="3"/>
    <x v="464"/>
    <x v="361"/>
    <x v="1"/>
    <x v="1"/>
    <s v="TRK71418686"/>
    <x v="5"/>
    <x v="1"/>
    <x v="4"/>
    <x v="463"/>
  </r>
  <r>
    <s v="ORD200465"/>
    <x v="235"/>
    <s v="C58773"/>
    <x v="4"/>
    <x v="0"/>
    <x v="465"/>
    <x v="362"/>
    <x v="3"/>
    <x v="1"/>
    <s v="TRK65438300"/>
    <x v="2"/>
    <x v="2"/>
    <x v="4"/>
    <x v="464"/>
  </r>
  <r>
    <s v="ORD200466"/>
    <x v="202"/>
    <s v="C37412"/>
    <x v="1"/>
    <x v="2"/>
    <x v="466"/>
    <x v="30"/>
    <x v="4"/>
    <x v="3"/>
    <s v="TRK97829604"/>
    <x v="4"/>
    <x v="1"/>
    <x v="1"/>
    <x v="465"/>
  </r>
  <r>
    <s v="ORD200467"/>
    <x v="225"/>
    <s v="C36492"/>
    <x v="6"/>
    <x v="2"/>
    <x v="467"/>
    <x v="167"/>
    <x v="4"/>
    <x v="1"/>
    <s v="TRK44350440"/>
    <x v="7"/>
    <x v="3"/>
    <x v="2"/>
    <x v="466"/>
  </r>
  <r>
    <s v="ORD200468"/>
    <x v="370"/>
    <s v="C90110"/>
    <x v="1"/>
    <x v="2"/>
    <x v="468"/>
    <x v="363"/>
    <x v="2"/>
    <x v="3"/>
    <s v="TRK60203957"/>
    <x v="3"/>
    <x v="1"/>
    <x v="2"/>
    <x v="467"/>
  </r>
  <r>
    <s v="ORD200469"/>
    <x v="371"/>
    <s v="C13877"/>
    <x v="3"/>
    <x v="0"/>
    <x v="469"/>
    <x v="136"/>
    <x v="4"/>
    <x v="1"/>
    <s v="TRK17254691"/>
    <x v="3"/>
    <x v="2"/>
    <x v="3"/>
    <x v="468"/>
  </r>
  <r>
    <s v="ORD200470"/>
    <x v="372"/>
    <s v="C25149"/>
    <x v="2"/>
    <x v="3"/>
    <x v="470"/>
    <x v="364"/>
    <x v="4"/>
    <x v="0"/>
    <s v="TRK33538608"/>
    <x v="3"/>
    <x v="0"/>
    <x v="2"/>
    <x v="469"/>
  </r>
  <r>
    <s v="ORD200471"/>
    <x v="373"/>
    <s v="C52717"/>
    <x v="6"/>
    <x v="0"/>
    <x v="471"/>
    <x v="365"/>
    <x v="1"/>
    <x v="1"/>
    <s v="TRK27625571"/>
    <x v="0"/>
    <x v="1"/>
    <x v="1"/>
    <x v="470"/>
  </r>
  <r>
    <s v="ORD200472"/>
    <x v="374"/>
    <s v="C60029"/>
    <x v="3"/>
    <x v="4"/>
    <x v="472"/>
    <x v="366"/>
    <x v="2"/>
    <x v="1"/>
    <s v="TRK86461316"/>
    <x v="2"/>
    <x v="1"/>
    <x v="1"/>
    <x v="471"/>
  </r>
  <r>
    <s v="ORD200473"/>
    <x v="86"/>
    <s v="C28552"/>
    <x v="3"/>
    <x v="1"/>
    <x v="473"/>
    <x v="367"/>
    <x v="1"/>
    <x v="0"/>
    <s v="TRK71597160"/>
    <x v="4"/>
    <x v="2"/>
    <x v="3"/>
    <x v="472"/>
  </r>
  <r>
    <s v="ORD200474"/>
    <x v="375"/>
    <s v="C72293"/>
    <x v="4"/>
    <x v="4"/>
    <x v="474"/>
    <x v="282"/>
    <x v="2"/>
    <x v="0"/>
    <s v="TRK84378003"/>
    <x v="5"/>
    <x v="0"/>
    <x v="1"/>
    <x v="473"/>
  </r>
  <r>
    <s v="ORD200475"/>
    <x v="373"/>
    <s v="C29844"/>
    <x v="2"/>
    <x v="1"/>
    <x v="475"/>
    <x v="368"/>
    <x v="4"/>
    <x v="1"/>
    <s v="TRK91642337"/>
    <x v="1"/>
    <x v="0"/>
    <x v="3"/>
    <x v="474"/>
  </r>
  <r>
    <s v="ORD200476"/>
    <x v="361"/>
    <s v="C77872"/>
    <x v="1"/>
    <x v="1"/>
    <x v="476"/>
    <x v="369"/>
    <x v="1"/>
    <x v="2"/>
    <s v="TRK19292184"/>
    <x v="4"/>
    <x v="1"/>
    <x v="1"/>
    <x v="475"/>
  </r>
  <r>
    <s v="ORD200477"/>
    <x v="376"/>
    <s v="C56564"/>
    <x v="1"/>
    <x v="1"/>
    <x v="477"/>
    <x v="370"/>
    <x v="1"/>
    <x v="0"/>
    <s v="TRK13166044"/>
    <x v="3"/>
    <x v="0"/>
    <x v="4"/>
    <x v="476"/>
  </r>
  <r>
    <s v="ORD200478"/>
    <x v="377"/>
    <s v="C16758"/>
    <x v="2"/>
    <x v="4"/>
    <x v="478"/>
    <x v="16"/>
    <x v="3"/>
    <x v="0"/>
    <s v="TRK88544431"/>
    <x v="5"/>
    <x v="1"/>
    <x v="1"/>
    <x v="477"/>
  </r>
  <r>
    <s v="ORD200479"/>
    <x v="378"/>
    <s v="C87011"/>
    <x v="0"/>
    <x v="3"/>
    <x v="479"/>
    <x v="371"/>
    <x v="2"/>
    <x v="4"/>
    <s v="TRK21429162"/>
    <x v="2"/>
    <x v="2"/>
    <x v="4"/>
    <x v="478"/>
  </r>
  <r>
    <s v="ORD200480"/>
    <x v="379"/>
    <s v="C21147"/>
    <x v="3"/>
    <x v="2"/>
    <x v="480"/>
    <x v="99"/>
    <x v="0"/>
    <x v="4"/>
    <s v="TRK93171043"/>
    <x v="5"/>
    <x v="1"/>
    <x v="1"/>
    <x v="479"/>
  </r>
  <r>
    <s v="ORD200481"/>
    <x v="295"/>
    <s v="C94568"/>
    <x v="5"/>
    <x v="3"/>
    <x v="481"/>
    <x v="186"/>
    <x v="0"/>
    <x v="3"/>
    <s v="TRK58653915"/>
    <x v="3"/>
    <x v="3"/>
    <x v="1"/>
    <x v="480"/>
  </r>
  <r>
    <s v="ORD200482"/>
    <x v="380"/>
    <s v="C35852"/>
    <x v="0"/>
    <x v="4"/>
    <x v="482"/>
    <x v="77"/>
    <x v="1"/>
    <x v="4"/>
    <s v="TRK22302049"/>
    <x v="5"/>
    <x v="2"/>
    <x v="0"/>
    <x v="481"/>
  </r>
  <r>
    <s v="ORD200483"/>
    <x v="381"/>
    <s v="C66462"/>
    <x v="1"/>
    <x v="0"/>
    <x v="483"/>
    <x v="372"/>
    <x v="4"/>
    <x v="4"/>
    <s v="TRK52743700"/>
    <x v="5"/>
    <x v="3"/>
    <x v="4"/>
    <x v="482"/>
  </r>
  <r>
    <s v="ORD200484"/>
    <x v="382"/>
    <s v="C29092"/>
    <x v="3"/>
    <x v="3"/>
    <x v="484"/>
    <x v="326"/>
    <x v="4"/>
    <x v="1"/>
    <s v="TRK90455340"/>
    <x v="5"/>
    <x v="2"/>
    <x v="3"/>
    <x v="483"/>
  </r>
  <r>
    <s v="ORD200485"/>
    <x v="383"/>
    <s v="C46651"/>
    <x v="3"/>
    <x v="4"/>
    <x v="485"/>
    <x v="373"/>
    <x v="4"/>
    <x v="0"/>
    <s v="TRK67679195"/>
    <x v="5"/>
    <x v="0"/>
    <x v="0"/>
    <x v="484"/>
  </r>
  <r>
    <s v="ORD200486"/>
    <x v="384"/>
    <s v="C88981"/>
    <x v="4"/>
    <x v="3"/>
    <x v="486"/>
    <x v="317"/>
    <x v="4"/>
    <x v="0"/>
    <s v="TRK75267873"/>
    <x v="3"/>
    <x v="0"/>
    <x v="1"/>
    <x v="485"/>
  </r>
  <r>
    <s v="ORD200487"/>
    <x v="338"/>
    <s v="C40136"/>
    <x v="4"/>
    <x v="4"/>
    <x v="487"/>
    <x v="374"/>
    <x v="2"/>
    <x v="4"/>
    <s v="TRK92924852"/>
    <x v="1"/>
    <x v="0"/>
    <x v="4"/>
    <x v="486"/>
  </r>
  <r>
    <s v="ORD200488"/>
    <x v="194"/>
    <s v="C81573"/>
    <x v="3"/>
    <x v="2"/>
    <x v="488"/>
    <x v="375"/>
    <x v="1"/>
    <x v="1"/>
    <s v="TRK96522994"/>
    <x v="9"/>
    <x v="3"/>
    <x v="2"/>
    <x v="487"/>
  </r>
  <r>
    <s v="ORD200489"/>
    <x v="189"/>
    <s v="C11940"/>
    <x v="2"/>
    <x v="4"/>
    <x v="489"/>
    <x v="227"/>
    <x v="3"/>
    <x v="1"/>
    <s v="TRK85466461"/>
    <x v="0"/>
    <x v="3"/>
    <x v="2"/>
    <x v="488"/>
  </r>
  <r>
    <s v="ORD200490"/>
    <x v="319"/>
    <s v="C50097"/>
    <x v="3"/>
    <x v="0"/>
    <x v="490"/>
    <x v="376"/>
    <x v="1"/>
    <x v="1"/>
    <s v="TRK62785150"/>
    <x v="8"/>
    <x v="2"/>
    <x v="3"/>
    <x v="489"/>
  </r>
  <r>
    <s v="ORD200491"/>
    <x v="314"/>
    <s v="C98168"/>
    <x v="1"/>
    <x v="0"/>
    <x v="491"/>
    <x v="370"/>
    <x v="4"/>
    <x v="4"/>
    <s v="TRK56423359"/>
    <x v="3"/>
    <x v="3"/>
    <x v="3"/>
    <x v="490"/>
  </r>
  <r>
    <s v="ORD200492"/>
    <x v="385"/>
    <s v="C39074"/>
    <x v="5"/>
    <x v="0"/>
    <x v="492"/>
    <x v="73"/>
    <x v="0"/>
    <x v="0"/>
    <s v="TRK13027036"/>
    <x v="5"/>
    <x v="0"/>
    <x v="0"/>
    <x v="491"/>
  </r>
  <r>
    <s v="ORD200493"/>
    <x v="386"/>
    <s v="C84908"/>
    <x v="1"/>
    <x v="2"/>
    <x v="493"/>
    <x v="377"/>
    <x v="2"/>
    <x v="4"/>
    <s v="TRK64135970"/>
    <x v="4"/>
    <x v="1"/>
    <x v="3"/>
    <x v="492"/>
  </r>
  <r>
    <s v="ORD200494"/>
    <x v="45"/>
    <s v="C64516"/>
    <x v="5"/>
    <x v="4"/>
    <x v="494"/>
    <x v="378"/>
    <x v="0"/>
    <x v="4"/>
    <s v="TRK63920573"/>
    <x v="1"/>
    <x v="1"/>
    <x v="1"/>
    <x v="493"/>
  </r>
  <r>
    <s v="ORD200495"/>
    <x v="85"/>
    <s v="C63827"/>
    <x v="1"/>
    <x v="3"/>
    <x v="495"/>
    <x v="140"/>
    <x v="0"/>
    <x v="4"/>
    <s v="TRK35730581"/>
    <x v="5"/>
    <x v="0"/>
    <x v="3"/>
    <x v="494"/>
  </r>
  <r>
    <s v="ORD200496"/>
    <x v="387"/>
    <s v="C93618"/>
    <x v="4"/>
    <x v="4"/>
    <x v="496"/>
    <x v="379"/>
    <x v="1"/>
    <x v="1"/>
    <s v="TRK66129326"/>
    <x v="1"/>
    <x v="0"/>
    <x v="4"/>
    <x v="495"/>
  </r>
  <r>
    <s v="ORD200497"/>
    <x v="101"/>
    <s v="C93948"/>
    <x v="4"/>
    <x v="4"/>
    <x v="497"/>
    <x v="380"/>
    <x v="3"/>
    <x v="0"/>
    <s v="TRK77358113"/>
    <x v="5"/>
    <x v="2"/>
    <x v="4"/>
    <x v="496"/>
  </r>
  <r>
    <s v="ORD200498"/>
    <x v="219"/>
    <s v="C73961"/>
    <x v="2"/>
    <x v="3"/>
    <x v="498"/>
    <x v="212"/>
    <x v="4"/>
    <x v="2"/>
    <s v="TRK32607173"/>
    <x v="2"/>
    <x v="3"/>
    <x v="0"/>
    <x v="497"/>
  </r>
  <r>
    <s v="ORD200499"/>
    <x v="388"/>
    <s v="C18138"/>
    <x v="4"/>
    <x v="4"/>
    <x v="499"/>
    <x v="381"/>
    <x v="2"/>
    <x v="0"/>
    <s v="TRK20289483"/>
    <x v="4"/>
    <x v="0"/>
    <x v="3"/>
    <x v="498"/>
  </r>
  <r>
    <s v="ORD200500"/>
    <x v="158"/>
    <s v="C79475"/>
    <x v="5"/>
    <x v="0"/>
    <x v="500"/>
    <x v="382"/>
    <x v="4"/>
    <x v="2"/>
    <s v="TRK42168516"/>
    <x v="2"/>
    <x v="3"/>
    <x v="3"/>
    <x v="499"/>
  </r>
  <r>
    <s v="ORD200501"/>
    <x v="389"/>
    <s v="C88546"/>
    <x v="6"/>
    <x v="3"/>
    <x v="501"/>
    <x v="149"/>
    <x v="2"/>
    <x v="4"/>
    <s v="TRK19867754"/>
    <x v="0"/>
    <x v="0"/>
    <x v="1"/>
    <x v="500"/>
  </r>
  <r>
    <s v="ORD200502"/>
    <x v="390"/>
    <s v="C69332"/>
    <x v="0"/>
    <x v="4"/>
    <x v="502"/>
    <x v="383"/>
    <x v="0"/>
    <x v="2"/>
    <s v="TRK65718848"/>
    <x v="0"/>
    <x v="0"/>
    <x v="2"/>
    <x v="501"/>
  </r>
  <r>
    <s v="ORD200503"/>
    <x v="303"/>
    <s v="C64554"/>
    <x v="2"/>
    <x v="4"/>
    <x v="503"/>
    <x v="384"/>
    <x v="1"/>
    <x v="4"/>
    <s v="TRK95384568"/>
    <x v="4"/>
    <x v="1"/>
    <x v="3"/>
    <x v="502"/>
  </r>
  <r>
    <s v="ORD200504"/>
    <x v="113"/>
    <s v="C11676"/>
    <x v="0"/>
    <x v="1"/>
    <x v="504"/>
    <x v="385"/>
    <x v="1"/>
    <x v="1"/>
    <s v="TRK35726395"/>
    <x v="7"/>
    <x v="3"/>
    <x v="0"/>
    <x v="503"/>
  </r>
  <r>
    <s v="ORD200505"/>
    <x v="236"/>
    <s v="C36014"/>
    <x v="4"/>
    <x v="1"/>
    <x v="505"/>
    <x v="317"/>
    <x v="1"/>
    <x v="0"/>
    <s v="TRK97246526"/>
    <x v="0"/>
    <x v="2"/>
    <x v="2"/>
    <x v="504"/>
  </r>
  <r>
    <s v="ORD200506"/>
    <x v="284"/>
    <s v="C23279"/>
    <x v="0"/>
    <x v="1"/>
    <x v="506"/>
    <x v="386"/>
    <x v="4"/>
    <x v="2"/>
    <s v="TRK58039693"/>
    <x v="4"/>
    <x v="3"/>
    <x v="0"/>
    <x v="505"/>
  </r>
  <r>
    <s v="ORD200507"/>
    <x v="176"/>
    <s v="C86481"/>
    <x v="1"/>
    <x v="2"/>
    <x v="507"/>
    <x v="274"/>
    <x v="2"/>
    <x v="4"/>
    <s v="TRK87513944"/>
    <x v="3"/>
    <x v="3"/>
    <x v="2"/>
    <x v="506"/>
  </r>
  <r>
    <s v="ORD200508"/>
    <x v="391"/>
    <s v="C39550"/>
    <x v="1"/>
    <x v="2"/>
    <x v="508"/>
    <x v="387"/>
    <x v="1"/>
    <x v="3"/>
    <s v="TRK24120267"/>
    <x v="9"/>
    <x v="2"/>
    <x v="1"/>
    <x v="507"/>
  </r>
  <r>
    <s v="ORD200509"/>
    <x v="392"/>
    <s v="C68937"/>
    <x v="5"/>
    <x v="1"/>
    <x v="509"/>
    <x v="388"/>
    <x v="4"/>
    <x v="2"/>
    <s v="TRK31908657"/>
    <x v="7"/>
    <x v="3"/>
    <x v="4"/>
    <x v="508"/>
  </r>
  <r>
    <s v="ORD200510"/>
    <x v="393"/>
    <s v="C72533"/>
    <x v="4"/>
    <x v="2"/>
    <x v="510"/>
    <x v="389"/>
    <x v="0"/>
    <x v="3"/>
    <s v="TRK51288986"/>
    <x v="3"/>
    <x v="0"/>
    <x v="2"/>
    <x v="509"/>
  </r>
  <r>
    <s v="ORD200511"/>
    <x v="394"/>
    <s v="C11415"/>
    <x v="0"/>
    <x v="0"/>
    <x v="511"/>
    <x v="40"/>
    <x v="4"/>
    <x v="3"/>
    <s v="TRK65061457"/>
    <x v="0"/>
    <x v="3"/>
    <x v="2"/>
    <x v="510"/>
  </r>
  <r>
    <s v="ORD200512"/>
    <x v="395"/>
    <s v="C14114"/>
    <x v="6"/>
    <x v="4"/>
    <x v="512"/>
    <x v="252"/>
    <x v="1"/>
    <x v="4"/>
    <s v="TRK63290700"/>
    <x v="1"/>
    <x v="1"/>
    <x v="0"/>
    <x v="511"/>
  </r>
  <r>
    <s v="ORD200513"/>
    <x v="396"/>
    <s v="C64128"/>
    <x v="2"/>
    <x v="4"/>
    <x v="513"/>
    <x v="91"/>
    <x v="3"/>
    <x v="0"/>
    <s v="TRK37053575"/>
    <x v="2"/>
    <x v="2"/>
    <x v="1"/>
    <x v="512"/>
  </r>
  <r>
    <s v="ORD200514"/>
    <x v="397"/>
    <s v="C15629"/>
    <x v="4"/>
    <x v="4"/>
    <x v="514"/>
    <x v="354"/>
    <x v="3"/>
    <x v="0"/>
    <s v="TRK64926044"/>
    <x v="1"/>
    <x v="3"/>
    <x v="0"/>
    <x v="513"/>
  </r>
  <r>
    <s v="ORD200515"/>
    <x v="369"/>
    <s v="C67561"/>
    <x v="1"/>
    <x v="4"/>
    <x v="515"/>
    <x v="352"/>
    <x v="3"/>
    <x v="0"/>
    <s v="TRK75900717"/>
    <x v="4"/>
    <x v="1"/>
    <x v="3"/>
    <x v="514"/>
  </r>
  <r>
    <s v="ORD200516"/>
    <x v="158"/>
    <s v="C47022"/>
    <x v="0"/>
    <x v="4"/>
    <x v="516"/>
    <x v="249"/>
    <x v="4"/>
    <x v="2"/>
    <s v="TRK28855040"/>
    <x v="2"/>
    <x v="2"/>
    <x v="3"/>
    <x v="515"/>
  </r>
  <r>
    <s v="ORD200517"/>
    <x v="398"/>
    <s v="C55205"/>
    <x v="2"/>
    <x v="3"/>
    <x v="517"/>
    <x v="371"/>
    <x v="4"/>
    <x v="1"/>
    <s v="TRK88141634"/>
    <x v="0"/>
    <x v="1"/>
    <x v="4"/>
    <x v="516"/>
  </r>
  <r>
    <s v="ORD200518"/>
    <x v="399"/>
    <s v="C30686"/>
    <x v="4"/>
    <x v="3"/>
    <x v="518"/>
    <x v="322"/>
    <x v="1"/>
    <x v="4"/>
    <s v="TRK59807273"/>
    <x v="6"/>
    <x v="0"/>
    <x v="1"/>
    <x v="517"/>
  </r>
  <r>
    <s v="ORD200519"/>
    <x v="400"/>
    <s v="C71797"/>
    <x v="5"/>
    <x v="3"/>
    <x v="519"/>
    <x v="390"/>
    <x v="0"/>
    <x v="2"/>
    <s v="TRK66010667"/>
    <x v="3"/>
    <x v="0"/>
    <x v="2"/>
    <x v="518"/>
  </r>
  <r>
    <s v="ORD200520"/>
    <x v="401"/>
    <s v="C66332"/>
    <x v="0"/>
    <x v="4"/>
    <x v="520"/>
    <x v="391"/>
    <x v="4"/>
    <x v="2"/>
    <s v="TRK27063398"/>
    <x v="3"/>
    <x v="2"/>
    <x v="1"/>
    <x v="519"/>
  </r>
  <r>
    <s v="ORD200521"/>
    <x v="402"/>
    <s v="C82318"/>
    <x v="1"/>
    <x v="2"/>
    <x v="521"/>
    <x v="392"/>
    <x v="2"/>
    <x v="0"/>
    <s v="TRK37534165"/>
    <x v="7"/>
    <x v="2"/>
    <x v="3"/>
    <x v="520"/>
  </r>
  <r>
    <s v="ORD200522"/>
    <x v="322"/>
    <s v="C66254"/>
    <x v="3"/>
    <x v="2"/>
    <x v="522"/>
    <x v="240"/>
    <x v="3"/>
    <x v="1"/>
    <s v="TRK82843861"/>
    <x v="9"/>
    <x v="1"/>
    <x v="2"/>
    <x v="521"/>
  </r>
  <r>
    <s v="ORD200523"/>
    <x v="403"/>
    <s v="C65083"/>
    <x v="6"/>
    <x v="3"/>
    <x v="523"/>
    <x v="331"/>
    <x v="2"/>
    <x v="2"/>
    <s v="TRK60937148"/>
    <x v="5"/>
    <x v="3"/>
    <x v="4"/>
    <x v="522"/>
  </r>
  <r>
    <s v="ORD200524"/>
    <x v="385"/>
    <s v="C44778"/>
    <x v="1"/>
    <x v="2"/>
    <x v="524"/>
    <x v="73"/>
    <x v="2"/>
    <x v="2"/>
    <s v="TRK92617366"/>
    <x v="4"/>
    <x v="2"/>
    <x v="1"/>
    <x v="523"/>
  </r>
  <r>
    <s v="ORD200525"/>
    <x v="404"/>
    <s v="C54499"/>
    <x v="0"/>
    <x v="2"/>
    <x v="525"/>
    <x v="352"/>
    <x v="0"/>
    <x v="0"/>
    <s v="TRK18061555"/>
    <x v="9"/>
    <x v="0"/>
    <x v="2"/>
    <x v="524"/>
  </r>
  <r>
    <s v="ORD200526"/>
    <x v="405"/>
    <s v="C91201"/>
    <x v="6"/>
    <x v="1"/>
    <x v="526"/>
    <x v="87"/>
    <x v="4"/>
    <x v="2"/>
    <s v="TRK63526023"/>
    <x v="0"/>
    <x v="3"/>
    <x v="4"/>
    <x v="525"/>
  </r>
  <r>
    <s v="ORD200527"/>
    <x v="406"/>
    <s v="C27202"/>
    <x v="3"/>
    <x v="0"/>
    <x v="527"/>
    <x v="78"/>
    <x v="2"/>
    <x v="1"/>
    <s v="TRK75406128"/>
    <x v="8"/>
    <x v="0"/>
    <x v="1"/>
    <x v="526"/>
  </r>
  <r>
    <s v="ORD200528"/>
    <x v="407"/>
    <s v="C32011"/>
    <x v="3"/>
    <x v="2"/>
    <x v="528"/>
    <x v="355"/>
    <x v="2"/>
    <x v="2"/>
    <s v="TRK70997744"/>
    <x v="7"/>
    <x v="0"/>
    <x v="1"/>
    <x v="527"/>
  </r>
  <r>
    <s v="ORD200529"/>
    <x v="158"/>
    <s v="C21181"/>
    <x v="2"/>
    <x v="1"/>
    <x v="529"/>
    <x v="393"/>
    <x v="4"/>
    <x v="4"/>
    <s v="TRK50363421"/>
    <x v="4"/>
    <x v="1"/>
    <x v="4"/>
    <x v="528"/>
  </r>
  <r>
    <s v="ORD200530"/>
    <x v="408"/>
    <s v="C98450"/>
    <x v="3"/>
    <x v="3"/>
    <x v="530"/>
    <x v="394"/>
    <x v="1"/>
    <x v="4"/>
    <s v="TRK14809530"/>
    <x v="6"/>
    <x v="2"/>
    <x v="4"/>
    <x v="529"/>
  </r>
  <r>
    <s v="ORD200531"/>
    <x v="367"/>
    <s v="C64502"/>
    <x v="6"/>
    <x v="0"/>
    <x v="531"/>
    <x v="395"/>
    <x v="3"/>
    <x v="3"/>
    <s v="TRK14914388"/>
    <x v="5"/>
    <x v="2"/>
    <x v="1"/>
    <x v="530"/>
  </r>
  <r>
    <s v="ORD200532"/>
    <x v="120"/>
    <s v="C47365"/>
    <x v="5"/>
    <x v="1"/>
    <x v="532"/>
    <x v="396"/>
    <x v="1"/>
    <x v="3"/>
    <s v="TRK42207882"/>
    <x v="0"/>
    <x v="2"/>
    <x v="2"/>
    <x v="531"/>
  </r>
  <r>
    <s v="ORD200533"/>
    <x v="409"/>
    <s v="C66349"/>
    <x v="6"/>
    <x v="2"/>
    <x v="533"/>
    <x v="62"/>
    <x v="3"/>
    <x v="2"/>
    <s v="TRK63550793"/>
    <x v="9"/>
    <x v="1"/>
    <x v="3"/>
    <x v="532"/>
  </r>
  <r>
    <s v="ORD200534"/>
    <x v="309"/>
    <s v="C73289"/>
    <x v="3"/>
    <x v="4"/>
    <x v="534"/>
    <x v="397"/>
    <x v="0"/>
    <x v="1"/>
    <s v="TRK70872738"/>
    <x v="4"/>
    <x v="0"/>
    <x v="2"/>
    <x v="533"/>
  </r>
  <r>
    <s v="ORD200535"/>
    <x v="25"/>
    <s v="C48649"/>
    <x v="0"/>
    <x v="4"/>
    <x v="535"/>
    <x v="157"/>
    <x v="1"/>
    <x v="1"/>
    <s v="TRK45821445"/>
    <x v="1"/>
    <x v="1"/>
    <x v="2"/>
    <x v="534"/>
  </r>
  <r>
    <s v="ORD200536"/>
    <x v="410"/>
    <s v="C18724"/>
    <x v="3"/>
    <x v="2"/>
    <x v="536"/>
    <x v="398"/>
    <x v="4"/>
    <x v="2"/>
    <s v="TRK52508861"/>
    <x v="5"/>
    <x v="2"/>
    <x v="2"/>
    <x v="535"/>
  </r>
  <r>
    <s v="ORD200537"/>
    <x v="411"/>
    <s v="C68553"/>
    <x v="2"/>
    <x v="4"/>
    <x v="537"/>
    <x v="61"/>
    <x v="1"/>
    <x v="3"/>
    <s v="TRK58218971"/>
    <x v="4"/>
    <x v="0"/>
    <x v="3"/>
    <x v="536"/>
  </r>
  <r>
    <s v="ORD200538"/>
    <x v="75"/>
    <s v="C61280"/>
    <x v="1"/>
    <x v="4"/>
    <x v="538"/>
    <x v="399"/>
    <x v="4"/>
    <x v="0"/>
    <s v="TRK95487711"/>
    <x v="1"/>
    <x v="3"/>
    <x v="2"/>
    <x v="537"/>
  </r>
  <r>
    <s v="ORD200539"/>
    <x v="403"/>
    <s v="C53277"/>
    <x v="6"/>
    <x v="4"/>
    <x v="539"/>
    <x v="400"/>
    <x v="3"/>
    <x v="3"/>
    <s v="TRK17653832"/>
    <x v="0"/>
    <x v="0"/>
    <x v="4"/>
    <x v="538"/>
  </r>
  <r>
    <s v="ORD200540"/>
    <x v="412"/>
    <s v="C87281"/>
    <x v="5"/>
    <x v="0"/>
    <x v="540"/>
    <x v="401"/>
    <x v="1"/>
    <x v="4"/>
    <s v="TRK81765057"/>
    <x v="0"/>
    <x v="2"/>
    <x v="1"/>
    <x v="539"/>
  </r>
  <r>
    <s v="ORD200541"/>
    <x v="413"/>
    <s v="C69009"/>
    <x v="4"/>
    <x v="0"/>
    <x v="541"/>
    <x v="402"/>
    <x v="4"/>
    <x v="4"/>
    <s v="TRK61295842"/>
    <x v="8"/>
    <x v="2"/>
    <x v="0"/>
    <x v="540"/>
  </r>
  <r>
    <s v="ORD200542"/>
    <x v="414"/>
    <s v="C49726"/>
    <x v="2"/>
    <x v="2"/>
    <x v="542"/>
    <x v="5"/>
    <x v="4"/>
    <x v="1"/>
    <s v="TRK20739460"/>
    <x v="5"/>
    <x v="1"/>
    <x v="2"/>
    <x v="541"/>
  </r>
  <r>
    <s v="ORD200543"/>
    <x v="415"/>
    <s v="C37531"/>
    <x v="6"/>
    <x v="0"/>
    <x v="543"/>
    <x v="159"/>
    <x v="4"/>
    <x v="0"/>
    <s v="TRK93877673"/>
    <x v="5"/>
    <x v="3"/>
    <x v="3"/>
    <x v="542"/>
  </r>
  <r>
    <s v="ORD200544"/>
    <x v="416"/>
    <s v="C48713"/>
    <x v="4"/>
    <x v="0"/>
    <x v="544"/>
    <x v="316"/>
    <x v="2"/>
    <x v="2"/>
    <s v="TRK96334419"/>
    <x v="3"/>
    <x v="1"/>
    <x v="1"/>
    <x v="543"/>
  </r>
  <r>
    <s v="ORD200545"/>
    <x v="263"/>
    <s v="C74138"/>
    <x v="0"/>
    <x v="1"/>
    <x v="545"/>
    <x v="403"/>
    <x v="4"/>
    <x v="2"/>
    <s v="TRK74091695"/>
    <x v="1"/>
    <x v="2"/>
    <x v="0"/>
    <x v="544"/>
  </r>
  <r>
    <s v="ORD200546"/>
    <x v="417"/>
    <s v="C82399"/>
    <x v="0"/>
    <x v="2"/>
    <x v="546"/>
    <x v="0"/>
    <x v="2"/>
    <x v="2"/>
    <s v="TRK77177284"/>
    <x v="5"/>
    <x v="3"/>
    <x v="0"/>
    <x v="545"/>
  </r>
  <r>
    <s v="ORD200547"/>
    <x v="38"/>
    <s v="C40427"/>
    <x v="1"/>
    <x v="2"/>
    <x v="547"/>
    <x v="404"/>
    <x v="1"/>
    <x v="3"/>
    <s v="TRK25392280"/>
    <x v="4"/>
    <x v="1"/>
    <x v="3"/>
    <x v="546"/>
  </r>
  <r>
    <s v="ORD200548"/>
    <x v="80"/>
    <s v="C17103"/>
    <x v="4"/>
    <x v="4"/>
    <x v="548"/>
    <x v="90"/>
    <x v="1"/>
    <x v="3"/>
    <s v="TRK64398650"/>
    <x v="3"/>
    <x v="3"/>
    <x v="0"/>
    <x v="547"/>
  </r>
  <r>
    <s v="ORD200549"/>
    <x v="86"/>
    <s v="C34266"/>
    <x v="0"/>
    <x v="3"/>
    <x v="549"/>
    <x v="405"/>
    <x v="0"/>
    <x v="1"/>
    <s v="TRK56378197"/>
    <x v="2"/>
    <x v="3"/>
    <x v="0"/>
    <x v="548"/>
  </r>
  <r>
    <s v="ORD200550"/>
    <x v="418"/>
    <s v="C97485"/>
    <x v="5"/>
    <x v="3"/>
    <x v="550"/>
    <x v="132"/>
    <x v="4"/>
    <x v="0"/>
    <s v="TRK81794737"/>
    <x v="4"/>
    <x v="1"/>
    <x v="4"/>
    <x v="549"/>
  </r>
  <r>
    <s v="ORD200551"/>
    <x v="419"/>
    <s v="C23947"/>
    <x v="5"/>
    <x v="2"/>
    <x v="551"/>
    <x v="118"/>
    <x v="0"/>
    <x v="3"/>
    <s v="TRK74812710"/>
    <x v="5"/>
    <x v="3"/>
    <x v="2"/>
    <x v="550"/>
  </r>
  <r>
    <s v="ORD200552"/>
    <x v="420"/>
    <s v="C21665"/>
    <x v="3"/>
    <x v="3"/>
    <x v="552"/>
    <x v="388"/>
    <x v="1"/>
    <x v="2"/>
    <s v="TRK29890761"/>
    <x v="2"/>
    <x v="3"/>
    <x v="3"/>
    <x v="551"/>
  </r>
  <r>
    <s v="ORD200553"/>
    <x v="421"/>
    <s v="C82550"/>
    <x v="1"/>
    <x v="1"/>
    <x v="553"/>
    <x v="406"/>
    <x v="3"/>
    <x v="1"/>
    <s v="TRK74103758"/>
    <x v="4"/>
    <x v="1"/>
    <x v="1"/>
    <x v="552"/>
  </r>
  <r>
    <s v="ORD200554"/>
    <x v="422"/>
    <s v="C61943"/>
    <x v="5"/>
    <x v="1"/>
    <x v="554"/>
    <x v="200"/>
    <x v="4"/>
    <x v="2"/>
    <s v="TRK66126496"/>
    <x v="3"/>
    <x v="1"/>
    <x v="0"/>
    <x v="553"/>
  </r>
  <r>
    <s v="ORD200555"/>
    <x v="33"/>
    <s v="C88933"/>
    <x v="2"/>
    <x v="2"/>
    <x v="555"/>
    <x v="10"/>
    <x v="4"/>
    <x v="0"/>
    <s v="TRK89306964"/>
    <x v="7"/>
    <x v="2"/>
    <x v="3"/>
    <x v="554"/>
  </r>
  <r>
    <s v="ORD200556"/>
    <x v="423"/>
    <s v="C30923"/>
    <x v="5"/>
    <x v="2"/>
    <x v="556"/>
    <x v="407"/>
    <x v="3"/>
    <x v="4"/>
    <s v="TRK82609328"/>
    <x v="7"/>
    <x v="0"/>
    <x v="3"/>
    <x v="555"/>
  </r>
  <r>
    <s v="ORD200557"/>
    <x v="282"/>
    <s v="C56969"/>
    <x v="2"/>
    <x v="2"/>
    <x v="557"/>
    <x v="408"/>
    <x v="0"/>
    <x v="4"/>
    <s v="TRK40719215"/>
    <x v="9"/>
    <x v="3"/>
    <x v="3"/>
    <x v="556"/>
  </r>
  <r>
    <s v="ORD200558"/>
    <x v="424"/>
    <s v="C76766"/>
    <x v="1"/>
    <x v="3"/>
    <x v="558"/>
    <x v="409"/>
    <x v="1"/>
    <x v="3"/>
    <s v="TRK32052962"/>
    <x v="5"/>
    <x v="3"/>
    <x v="0"/>
    <x v="557"/>
  </r>
  <r>
    <s v="ORD200559"/>
    <x v="116"/>
    <s v="C22981"/>
    <x v="6"/>
    <x v="4"/>
    <x v="559"/>
    <x v="380"/>
    <x v="0"/>
    <x v="1"/>
    <s v="TRK10115285"/>
    <x v="0"/>
    <x v="3"/>
    <x v="2"/>
    <x v="558"/>
  </r>
  <r>
    <s v="ORD200560"/>
    <x v="425"/>
    <s v="C33634"/>
    <x v="0"/>
    <x v="3"/>
    <x v="560"/>
    <x v="410"/>
    <x v="3"/>
    <x v="4"/>
    <s v="TRK93168008"/>
    <x v="0"/>
    <x v="2"/>
    <x v="2"/>
    <x v="559"/>
  </r>
  <r>
    <s v="ORD200561"/>
    <x v="425"/>
    <s v="C96822"/>
    <x v="4"/>
    <x v="1"/>
    <x v="561"/>
    <x v="411"/>
    <x v="1"/>
    <x v="0"/>
    <s v="TRK89180077"/>
    <x v="7"/>
    <x v="2"/>
    <x v="4"/>
    <x v="560"/>
  </r>
  <r>
    <s v="ORD200562"/>
    <x v="426"/>
    <s v="C76675"/>
    <x v="5"/>
    <x v="4"/>
    <x v="562"/>
    <x v="90"/>
    <x v="3"/>
    <x v="2"/>
    <s v="TRK28043915"/>
    <x v="5"/>
    <x v="1"/>
    <x v="2"/>
    <x v="561"/>
  </r>
  <r>
    <s v="ORD200563"/>
    <x v="427"/>
    <s v="C12039"/>
    <x v="5"/>
    <x v="2"/>
    <x v="563"/>
    <x v="412"/>
    <x v="0"/>
    <x v="2"/>
    <s v="TRK68645763"/>
    <x v="9"/>
    <x v="0"/>
    <x v="1"/>
    <x v="562"/>
  </r>
  <r>
    <s v="ORD200564"/>
    <x v="428"/>
    <s v="C93309"/>
    <x v="6"/>
    <x v="0"/>
    <x v="564"/>
    <x v="413"/>
    <x v="2"/>
    <x v="1"/>
    <s v="TRK99446987"/>
    <x v="3"/>
    <x v="3"/>
    <x v="4"/>
    <x v="563"/>
  </r>
  <r>
    <s v="ORD200565"/>
    <x v="429"/>
    <s v="C62042"/>
    <x v="2"/>
    <x v="0"/>
    <x v="565"/>
    <x v="360"/>
    <x v="1"/>
    <x v="4"/>
    <s v="TRK42605492"/>
    <x v="8"/>
    <x v="2"/>
    <x v="3"/>
    <x v="564"/>
  </r>
  <r>
    <s v="ORD200566"/>
    <x v="171"/>
    <s v="C83223"/>
    <x v="1"/>
    <x v="3"/>
    <x v="566"/>
    <x v="414"/>
    <x v="4"/>
    <x v="1"/>
    <s v="TRK54339083"/>
    <x v="0"/>
    <x v="1"/>
    <x v="2"/>
    <x v="565"/>
  </r>
  <r>
    <s v="ORD200567"/>
    <x v="430"/>
    <s v="C92575"/>
    <x v="3"/>
    <x v="0"/>
    <x v="567"/>
    <x v="222"/>
    <x v="4"/>
    <x v="0"/>
    <s v="TRK53579227"/>
    <x v="8"/>
    <x v="1"/>
    <x v="2"/>
    <x v="566"/>
  </r>
  <r>
    <s v="ORD200568"/>
    <x v="401"/>
    <s v="C29072"/>
    <x v="5"/>
    <x v="1"/>
    <x v="568"/>
    <x v="304"/>
    <x v="1"/>
    <x v="3"/>
    <s v="TRK72334047"/>
    <x v="4"/>
    <x v="2"/>
    <x v="4"/>
    <x v="567"/>
  </r>
  <r>
    <s v="ORD200569"/>
    <x v="29"/>
    <s v="C25783"/>
    <x v="6"/>
    <x v="0"/>
    <x v="569"/>
    <x v="364"/>
    <x v="4"/>
    <x v="0"/>
    <s v="TRK13289741"/>
    <x v="2"/>
    <x v="0"/>
    <x v="0"/>
    <x v="568"/>
  </r>
  <r>
    <s v="ORD200570"/>
    <x v="431"/>
    <s v="C63727"/>
    <x v="6"/>
    <x v="1"/>
    <x v="570"/>
    <x v="108"/>
    <x v="0"/>
    <x v="4"/>
    <s v="TRK13611021"/>
    <x v="7"/>
    <x v="0"/>
    <x v="0"/>
    <x v="569"/>
  </r>
  <r>
    <s v="ORD200571"/>
    <x v="432"/>
    <s v="C42365"/>
    <x v="2"/>
    <x v="2"/>
    <x v="571"/>
    <x v="369"/>
    <x v="3"/>
    <x v="2"/>
    <s v="TRK39563288"/>
    <x v="7"/>
    <x v="3"/>
    <x v="4"/>
    <x v="570"/>
  </r>
  <r>
    <s v="ORD200572"/>
    <x v="433"/>
    <s v="C27438"/>
    <x v="4"/>
    <x v="2"/>
    <x v="572"/>
    <x v="312"/>
    <x v="4"/>
    <x v="2"/>
    <s v="TRK69125497"/>
    <x v="4"/>
    <x v="3"/>
    <x v="3"/>
    <x v="571"/>
  </r>
  <r>
    <s v="ORD200573"/>
    <x v="261"/>
    <s v="C13205"/>
    <x v="3"/>
    <x v="0"/>
    <x v="573"/>
    <x v="101"/>
    <x v="0"/>
    <x v="1"/>
    <s v="TRK30686578"/>
    <x v="0"/>
    <x v="2"/>
    <x v="0"/>
    <x v="572"/>
  </r>
  <r>
    <s v="ORD200574"/>
    <x v="434"/>
    <s v="C29685"/>
    <x v="3"/>
    <x v="0"/>
    <x v="574"/>
    <x v="3"/>
    <x v="2"/>
    <x v="4"/>
    <s v="TRK97733212"/>
    <x v="5"/>
    <x v="1"/>
    <x v="2"/>
    <x v="573"/>
  </r>
  <r>
    <s v="ORD200575"/>
    <x v="323"/>
    <s v="C74005"/>
    <x v="3"/>
    <x v="0"/>
    <x v="575"/>
    <x v="415"/>
    <x v="3"/>
    <x v="2"/>
    <s v="TRK61640534"/>
    <x v="0"/>
    <x v="0"/>
    <x v="4"/>
    <x v="574"/>
  </r>
  <r>
    <s v="ORD200576"/>
    <x v="382"/>
    <s v="C14457"/>
    <x v="5"/>
    <x v="0"/>
    <x v="576"/>
    <x v="300"/>
    <x v="4"/>
    <x v="4"/>
    <s v="TRK42517811"/>
    <x v="2"/>
    <x v="2"/>
    <x v="3"/>
    <x v="575"/>
  </r>
  <r>
    <s v="ORD200577"/>
    <x v="55"/>
    <s v="C77046"/>
    <x v="2"/>
    <x v="3"/>
    <x v="577"/>
    <x v="78"/>
    <x v="1"/>
    <x v="2"/>
    <s v="TRK44401497"/>
    <x v="6"/>
    <x v="3"/>
    <x v="4"/>
    <x v="576"/>
  </r>
  <r>
    <s v="ORD200578"/>
    <x v="84"/>
    <s v="C50415"/>
    <x v="0"/>
    <x v="0"/>
    <x v="578"/>
    <x v="20"/>
    <x v="2"/>
    <x v="3"/>
    <s v="TRK41345634"/>
    <x v="5"/>
    <x v="0"/>
    <x v="0"/>
    <x v="577"/>
  </r>
  <r>
    <s v="ORD200579"/>
    <x v="243"/>
    <s v="C73999"/>
    <x v="2"/>
    <x v="1"/>
    <x v="579"/>
    <x v="269"/>
    <x v="1"/>
    <x v="0"/>
    <s v="TRK67919507"/>
    <x v="4"/>
    <x v="3"/>
    <x v="3"/>
    <x v="578"/>
  </r>
  <r>
    <s v="ORD200580"/>
    <x v="414"/>
    <s v="C71076"/>
    <x v="0"/>
    <x v="1"/>
    <x v="580"/>
    <x v="416"/>
    <x v="2"/>
    <x v="3"/>
    <s v="TRK65148292"/>
    <x v="4"/>
    <x v="0"/>
    <x v="0"/>
    <x v="579"/>
  </r>
  <r>
    <s v="ORD200581"/>
    <x v="435"/>
    <s v="C44674"/>
    <x v="5"/>
    <x v="2"/>
    <x v="581"/>
    <x v="15"/>
    <x v="1"/>
    <x v="3"/>
    <s v="TRK87158684"/>
    <x v="9"/>
    <x v="2"/>
    <x v="1"/>
    <x v="580"/>
  </r>
  <r>
    <s v="ORD200582"/>
    <x v="436"/>
    <s v="C15228"/>
    <x v="2"/>
    <x v="4"/>
    <x v="582"/>
    <x v="317"/>
    <x v="3"/>
    <x v="0"/>
    <s v="TRK33860620"/>
    <x v="2"/>
    <x v="3"/>
    <x v="4"/>
    <x v="581"/>
  </r>
  <r>
    <s v="ORD200583"/>
    <x v="437"/>
    <s v="C27072"/>
    <x v="3"/>
    <x v="4"/>
    <x v="583"/>
    <x v="31"/>
    <x v="3"/>
    <x v="3"/>
    <s v="TRK29750379"/>
    <x v="4"/>
    <x v="2"/>
    <x v="0"/>
    <x v="582"/>
  </r>
  <r>
    <s v="ORD200584"/>
    <x v="438"/>
    <s v="C15257"/>
    <x v="3"/>
    <x v="3"/>
    <x v="584"/>
    <x v="417"/>
    <x v="1"/>
    <x v="3"/>
    <s v="TRK28779938"/>
    <x v="5"/>
    <x v="0"/>
    <x v="4"/>
    <x v="583"/>
  </r>
  <r>
    <s v="ORD200585"/>
    <x v="38"/>
    <s v="C91486"/>
    <x v="2"/>
    <x v="3"/>
    <x v="585"/>
    <x v="299"/>
    <x v="4"/>
    <x v="2"/>
    <s v="TRK79617136"/>
    <x v="2"/>
    <x v="3"/>
    <x v="4"/>
    <x v="584"/>
  </r>
  <r>
    <s v="ORD200586"/>
    <x v="337"/>
    <s v="C17389"/>
    <x v="0"/>
    <x v="2"/>
    <x v="586"/>
    <x v="418"/>
    <x v="3"/>
    <x v="2"/>
    <s v="TRK98857880"/>
    <x v="3"/>
    <x v="1"/>
    <x v="1"/>
    <x v="585"/>
  </r>
  <r>
    <s v="ORD200587"/>
    <x v="439"/>
    <s v="C18820"/>
    <x v="0"/>
    <x v="0"/>
    <x v="587"/>
    <x v="419"/>
    <x v="3"/>
    <x v="3"/>
    <s v="TRK91547425"/>
    <x v="8"/>
    <x v="1"/>
    <x v="0"/>
    <x v="586"/>
  </r>
  <r>
    <s v="ORD200588"/>
    <x v="440"/>
    <s v="C61849"/>
    <x v="0"/>
    <x v="3"/>
    <x v="588"/>
    <x v="55"/>
    <x v="2"/>
    <x v="3"/>
    <s v="TRK47613918"/>
    <x v="6"/>
    <x v="2"/>
    <x v="4"/>
    <x v="587"/>
  </r>
  <r>
    <s v="ORD200589"/>
    <x v="441"/>
    <s v="C84041"/>
    <x v="5"/>
    <x v="1"/>
    <x v="589"/>
    <x v="420"/>
    <x v="4"/>
    <x v="3"/>
    <s v="TRK84920444"/>
    <x v="1"/>
    <x v="1"/>
    <x v="1"/>
    <x v="588"/>
  </r>
  <r>
    <s v="ORD200590"/>
    <x v="442"/>
    <s v="C55757"/>
    <x v="4"/>
    <x v="1"/>
    <x v="590"/>
    <x v="421"/>
    <x v="3"/>
    <x v="2"/>
    <s v="TRK27356242"/>
    <x v="4"/>
    <x v="2"/>
    <x v="2"/>
    <x v="589"/>
  </r>
  <r>
    <s v="ORD200591"/>
    <x v="249"/>
    <s v="C18187"/>
    <x v="5"/>
    <x v="2"/>
    <x v="591"/>
    <x v="422"/>
    <x v="3"/>
    <x v="0"/>
    <s v="TRK50528185"/>
    <x v="1"/>
    <x v="1"/>
    <x v="1"/>
    <x v="590"/>
  </r>
  <r>
    <s v="ORD200592"/>
    <x v="234"/>
    <s v="C42306"/>
    <x v="1"/>
    <x v="4"/>
    <x v="592"/>
    <x v="393"/>
    <x v="1"/>
    <x v="2"/>
    <s v="TRK15499648"/>
    <x v="4"/>
    <x v="2"/>
    <x v="4"/>
    <x v="591"/>
  </r>
  <r>
    <s v="ORD200593"/>
    <x v="443"/>
    <s v="C51024"/>
    <x v="0"/>
    <x v="2"/>
    <x v="593"/>
    <x v="125"/>
    <x v="3"/>
    <x v="0"/>
    <s v="TRK31375086"/>
    <x v="4"/>
    <x v="1"/>
    <x v="3"/>
    <x v="592"/>
  </r>
  <r>
    <s v="ORD200594"/>
    <x v="444"/>
    <s v="C40140"/>
    <x v="1"/>
    <x v="0"/>
    <x v="594"/>
    <x v="128"/>
    <x v="2"/>
    <x v="1"/>
    <s v="TRK12671989"/>
    <x v="0"/>
    <x v="2"/>
    <x v="2"/>
    <x v="593"/>
  </r>
  <r>
    <s v="ORD200595"/>
    <x v="445"/>
    <s v="C72596"/>
    <x v="4"/>
    <x v="1"/>
    <x v="595"/>
    <x v="423"/>
    <x v="1"/>
    <x v="4"/>
    <s v="TRK83870446"/>
    <x v="0"/>
    <x v="0"/>
    <x v="2"/>
    <x v="594"/>
  </r>
  <r>
    <s v="ORD200596"/>
    <x v="439"/>
    <s v="C91805"/>
    <x v="6"/>
    <x v="4"/>
    <x v="596"/>
    <x v="424"/>
    <x v="0"/>
    <x v="2"/>
    <s v="TRK34504030"/>
    <x v="0"/>
    <x v="1"/>
    <x v="3"/>
    <x v="595"/>
  </r>
  <r>
    <s v="ORD200597"/>
    <x v="446"/>
    <s v="C40538"/>
    <x v="6"/>
    <x v="1"/>
    <x v="597"/>
    <x v="425"/>
    <x v="3"/>
    <x v="1"/>
    <s v="TRK29821356"/>
    <x v="4"/>
    <x v="3"/>
    <x v="2"/>
    <x v="596"/>
  </r>
  <r>
    <s v="ORD200598"/>
    <x v="447"/>
    <s v="C60329"/>
    <x v="6"/>
    <x v="0"/>
    <x v="598"/>
    <x v="283"/>
    <x v="2"/>
    <x v="4"/>
    <s v="TRK59069987"/>
    <x v="3"/>
    <x v="2"/>
    <x v="3"/>
    <x v="597"/>
  </r>
  <r>
    <s v="ORD200599"/>
    <x v="30"/>
    <s v="C28740"/>
    <x v="3"/>
    <x v="4"/>
    <x v="599"/>
    <x v="329"/>
    <x v="1"/>
    <x v="1"/>
    <s v="TRK33642221"/>
    <x v="4"/>
    <x v="1"/>
    <x v="3"/>
    <x v="598"/>
  </r>
  <r>
    <s v="ORD200600"/>
    <x v="68"/>
    <s v="C87051"/>
    <x v="4"/>
    <x v="2"/>
    <x v="600"/>
    <x v="223"/>
    <x v="3"/>
    <x v="1"/>
    <s v="TRK82056333"/>
    <x v="9"/>
    <x v="1"/>
    <x v="3"/>
    <x v="599"/>
  </r>
  <r>
    <s v="ORD200601"/>
    <x v="276"/>
    <s v="C12479"/>
    <x v="0"/>
    <x v="0"/>
    <x v="601"/>
    <x v="426"/>
    <x v="2"/>
    <x v="0"/>
    <s v="TRK73935314"/>
    <x v="8"/>
    <x v="2"/>
    <x v="1"/>
    <x v="600"/>
  </r>
  <r>
    <s v="ORD200602"/>
    <x v="448"/>
    <s v="C35852"/>
    <x v="2"/>
    <x v="3"/>
    <x v="602"/>
    <x v="372"/>
    <x v="1"/>
    <x v="4"/>
    <s v="TRK64660134"/>
    <x v="3"/>
    <x v="0"/>
    <x v="0"/>
    <x v="601"/>
  </r>
  <r>
    <s v="ORD200603"/>
    <x v="449"/>
    <s v="C26223"/>
    <x v="2"/>
    <x v="2"/>
    <x v="603"/>
    <x v="427"/>
    <x v="4"/>
    <x v="4"/>
    <s v="TRK50900547"/>
    <x v="4"/>
    <x v="0"/>
    <x v="4"/>
    <x v="602"/>
  </r>
  <r>
    <s v="ORD200604"/>
    <x v="450"/>
    <s v="C99214"/>
    <x v="3"/>
    <x v="4"/>
    <x v="604"/>
    <x v="251"/>
    <x v="0"/>
    <x v="3"/>
    <s v="TRK81368481"/>
    <x v="5"/>
    <x v="2"/>
    <x v="3"/>
    <x v="603"/>
  </r>
  <r>
    <s v="ORD200605"/>
    <x v="451"/>
    <s v="C49605"/>
    <x v="0"/>
    <x v="1"/>
    <x v="550"/>
    <x v="428"/>
    <x v="0"/>
    <x v="0"/>
    <s v="TRK95620066"/>
    <x v="4"/>
    <x v="0"/>
    <x v="1"/>
    <x v="604"/>
  </r>
  <r>
    <s v="ORD200606"/>
    <x v="119"/>
    <s v="C85018"/>
    <x v="5"/>
    <x v="4"/>
    <x v="605"/>
    <x v="204"/>
    <x v="4"/>
    <x v="1"/>
    <s v="TRK54128886"/>
    <x v="1"/>
    <x v="0"/>
    <x v="4"/>
    <x v="605"/>
  </r>
  <r>
    <s v="ORD200607"/>
    <x v="133"/>
    <s v="C96434"/>
    <x v="4"/>
    <x v="3"/>
    <x v="606"/>
    <x v="429"/>
    <x v="4"/>
    <x v="0"/>
    <s v="TRK56730647"/>
    <x v="5"/>
    <x v="0"/>
    <x v="4"/>
    <x v="606"/>
  </r>
  <r>
    <s v="ORD200608"/>
    <x v="25"/>
    <s v="C32956"/>
    <x v="5"/>
    <x v="0"/>
    <x v="607"/>
    <x v="430"/>
    <x v="1"/>
    <x v="1"/>
    <s v="TRK73140103"/>
    <x v="5"/>
    <x v="0"/>
    <x v="0"/>
    <x v="607"/>
  </r>
  <r>
    <s v="ORD200609"/>
    <x v="109"/>
    <s v="C41137"/>
    <x v="3"/>
    <x v="4"/>
    <x v="608"/>
    <x v="431"/>
    <x v="4"/>
    <x v="2"/>
    <s v="TRK52732162"/>
    <x v="3"/>
    <x v="3"/>
    <x v="1"/>
    <x v="608"/>
  </r>
  <r>
    <s v="ORD200610"/>
    <x v="452"/>
    <s v="C60361"/>
    <x v="6"/>
    <x v="0"/>
    <x v="609"/>
    <x v="50"/>
    <x v="4"/>
    <x v="2"/>
    <s v="TRK83566924"/>
    <x v="0"/>
    <x v="1"/>
    <x v="3"/>
    <x v="609"/>
  </r>
  <r>
    <s v="ORD200611"/>
    <x v="453"/>
    <s v="C36688"/>
    <x v="6"/>
    <x v="2"/>
    <x v="610"/>
    <x v="425"/>
    <x v="3"/>
    <x v="2"/>
    <s v="TRK35720426"/>
    <x v="1"/>
    <x v="3"/>
    <x v="1"/>
    <x v="610"/>
  </r>
  <r>
    <s v="ORD200612"/>
    <x v="454"/>
    <s v="C51811"/>
    <x v="3"/>
    <x v="4"/>
    <x v="611"/>
    <x v="268"/>
    <x v="3"/>
    <x v="1"/>
    <s v="TRK82377939"/>
    <x v="2"/>
    <x v="2"/>
    <x v="4"/>
    <x v="611"/>
  </r>
  <r>
    <s v="ORD200613"/>
    <x v="36"/>
    <s v="C62405"/>
    <x v="5"/>
    <x v="1"/>
    <x v="612"/>
    <x v="432"/>
    <x v="1"/>
    <x v="2"/>
    <s v="TRK14721763"/>
    <x v="4"/>
    <x v="3"/>
    <x v="2"/>
    <x v="612"/>
  </r>
  <r>
    <s v="ORD200614"/>
    <x v="455"/>
    <s v="C77363"/>
    <x v="1"/>
    <x v="2"/>
    <x v="613"/>
    <x v="111"/>
    <x v="3"/>
    <x v="1"/>
    <s v="TRK12439827"/>
    <x v="1"/>
    <x v="2"/>
    <x v="1"/>
    <x v="613"/>
  </r>
  <r>
    <s v="ORD200615"/>
    <x v="456"/>
    <s v="C97218"/>
    <x v="0"/>
    <x v="0"/>
    <x v="614"/>
    <x v="251"/>
    <x v="2"/>
    <x v="2"/>
    <s v="TRK52632065"/>
    <x v="8"/>
    <x v="3"/>
    <x v="3"/>
    <x v="614"/>
  </r>
  <r>
    <s v="ORD200616"/>
    <x v="457"/>
    <s v="C43919"/>
    <x v="2"/>
    <x v="4"/>
    <x v="615"/>
    <x v="433"/>
    <x v="2"/>
    <x v="1"/>
    <s v="TRK73113192"/>
    <x v="0"/>
    <x v="0"/>
    <x v="3"/>
    <x v="615"/>
  </r>
  <r>
    <s v="ORD200617"/>
    <x v="458"/>
    <s v="C57093"/>
    <x v="2"/>
    <x v="4"/>
    <x v="616"/>
    <x v="434"/>
    <x v="1"/>
    <x v="1"/>
    <s v="TRK75469057"/>
    <x v="4"/>
    <x v="2"/>
    <x v="1"/>
    <x v="616"/>
  </r>
  <r>
    <s v="ORD200618"/>
    <x v="459"/>
    <s v="C50565"/>
    <x v="2"/>
    <x v="2"/>
    <x v="617"/>
    <x v="435"/>
    <x v="0"/>
    <x v="2"/>
    <s v="TRK97981418"/>
    <x v="3"/>
    <x v="2"/>
    <x v="0"/>
    <x v="617"/>
  </r>
  <r>
    <s v="ORD200619"/>
    <x v="424"/>
    <s v="C38845"/>
    <x v="5"/>
    <x v="2"/>
    <x v="618"/>
    <x v="373"/>
    <x v="3"/>
    <x v="4"/>
    <s v="TRK47637374"/>
    <x v="7"/>
    <x v="2"/>
    <x v="1"/>
    <x v="618"/>
  </r>
  <r>
    <s v="ORD200620"/>
    <x v="460"/>
    <s v="C84834"/>
    <x v="2"/>
    <x v="4"/>
    <x v="619"/>
    <x v="436"/>
    <x v="0"/>
    <x v="2"/>
    <s v="TRK90136001"/>
    <x v="2"/>
    <x v="0"/>
    <x v="1"/>
    <x v="619"/>
  </r>
  <r>
    <s v="ORD200621"/>
    <x v="356"/>
    <s v="C37455"/>
    <x v="1"/>
    <x v="0"/>
    <x v="620"/>
    <x v="72"/>
    <x v="2"/>
    <x v="3"/>
    <s v="TRK82685594"/>
    <x v="0"/>
    <x v="3"/>
    <x v="4"/>
    <x v="620"/>
  </r>
  <r>
    <s v="ORD200622"/>
    <x v="461"/>
    <s v="C27078"/>
    <x v="6"/>
    <x v="0"/>
    <x v="621"/>
    <x v="35"/>
    <x v="2"/>
    <x v="2"/>
    <s v="TRK89314307"/>
    <x v="0"/>
    <x v="2"/>
    <x v="3"/>
    <x v="621"/>
  </r>
  <r>
    <s v="ORD200623"/>
    <x v="379"/>
    <s v="C91941"/>
    <x v="4"/>
    <x v="4"/>
    <x v="622"/>
    <x v="437"/>
    <x v="3"/>
    <x v="1"/>
    <s v="TRK21330732"/>
    <x v="4"/>
    <x v="1"/>
    <x v="0"/>
    <x v="622"/>
  </r>
  <r>
    <s v="ORD200624"/>
    <x v="462"/>
    <s v="C25967"/>
    <x v="2"/>
    <x v="0"/>
    <x v="623"/>
    <x v="300"/>
    <x v="0"/>
    <x v="3"/>
    <s v="TRK88559278"/>
    <x v="5"/>
    <x v="2"/>
    <x v="2"/>
    <x v="623"/>
  </r>
  <r>
    <s v="ORD200625"/>
    <x v="463"/>
    <s v="C22123"/>
    <x v="2"/>
    <x v="2"/>
    <x v="624"/>
    <x v="438"/>
    <x v="2"/>
    <x v="4"/>
    <s v="TRK43250279"/>
    <x v="9"/>
    <x v="3"/>
    <x v="2"/>
    <x v="624"/>
  </r>
  <r>
    <s v="ORD200626"/>
    <x v="417"/>
    <s v="C45671"/>
    <x v="2"/>
    <x v="1"/>
    <x v="625"/>
    <x v="335"/>
    <x v="1"/>
    <x v="0"/>
    <s v="TRK18179773"/>
    <x v="3"/>
    <x v="0"/>
    <x v="1"/>
    <x v="625"/>
  </r>
  <r>
    <s v="ORD200627"/>
    <x v="464"/>
    <s v="C53334"/>
    <x v="3"/>
    <x v="4"/>
    <x v="626"/>
    <x v="402"/>
    <x v="1"/>
    <x v="2"/>
    <s v="TRK31724421"/>
    <x v="4"/>
    <x v="1"/>
    <x v="2"/>
    <x v="626"/>
  </r>
  <r>
    <s v="ORD200628"/>
    <x v="465"/>
    <s v="C18717"/>
    <x v="4"/>
    <x v="0"/>
    <x v="627"/>
    <x v="439"/>
    <x v="4"/>
    <x v="4"/>
    <s v="TRK58568806"/>
    <x v="2"/>
    <x v="1"/>
    <x v="1"/>
    <x v="627"/>
  </r>
  <r>
    <s v="ORD200629"/>
    <x v="466"/>
    <s v="C50137"/>
    <x v="1"/>
    <x v="4"/>
    <x v="628"/>
    <x v="440"/>
    <x v="1"/>
    <x v="4"/>
    <s v="TRK91836131"/>
    <x v="1"/>
    <x v="2"/>
    <x v="1"/>
    <x v="628"/>
  </r>
  <r>
    <s v="ORD200630"/>
    <x v="467"/>
    <s v="C51481"/>
    <x v="0"/>
    <x v="0"/>
    <x v="629"/>
    <x v="441"/>
    <x v="0"/>
    <x v="1"/>
    <s v="TRK33437701"/>
    <x v="8"/>
    <x v="2"/>
    <x v="0"/>
    <x v="629"/>
  </r>
  <r>
    <s v="ORD200631"/>
    <x v="169"/>
    <s v="C99128"/>
    <x v="3"/>
    <x v="4"/>
    <x v="630"/>
    <x v="235"/>
    <x v="3"/>
    <x v="2"/>
    <s v="TRK32426808"/>
    <x v="3"/>
    <x v="3"/>
    <x v="1"/>
    <x v="630"/>
  </r>
  <r>
    <s v="ORD200632"/>
    <x v="468"/>
    <s v="C67260"/>
    <x v="5"/>
    <x v="0"/>
    <x v="631"/>
    <x v="219"/>
    <x v="3"/>
    <x v="3"/>
    <s v="TRK38229104"/>
    <x v="0"/>
    <x v="3"/>
    <x v="3"/>
    <x v="631"/>
  </r>
  <r>
    <s v="ORD200633"/>
    <x v="294"/>
    <s v="C79533"/>
    <x v="5"/>
    <x v="0"/>
    <x v="632"/>
    <x v="318"/>
    <x v="3"/>
    <x v="1"/>
    <s v="TRK54711422"/>
    <x v="3"/>
    <x v="3"/>
    <x v="0"/>
    <x v="632"/>
  </r>
  <r>
    <s v="ORD200634"/>
    <x v="313"/>
    <s v="C66906"/>
    <x v="4"/>
    <x v="1"/>
    <x v="633"/>
    <x v="442"/>
    <x v="3"/>
    <x v="3"/>
    <s v="TRK31633755"/>
    <x v="7"/>
    <x v="3"/>
    <x v="1"/>
    <x v="633"/>
  </r>
  <r>
    <s v="ORD200635"/>
    <x v="141"/>
    <s v="C12818"/>
    <x v="3"/>
    <x v="4"/>
    <x v="634"/>
    <x v="48"/>
    <x v="4"/>
    <x v="2"/>
    <s v="TRK40879983"/>
    <x v="5"/>
    <x v="2"/>
    <x v="3"/>
    <x v="634"/>
  </r>
  <r>
    <s v="ORD200636"/>
    <x v="469"/>
    <s v="C60384"/>
    <x v="5"/>
    <x v="3"/>
    <x v="635"/>
    <x v="154"/>
    <x v="4"/>
    <x v="1"/>
    <s v="TRK92080037"/>
    <x v="0"/>
    <x v="3"/>
    <x v="3"/>
    <x v="635"/>
  </r>
  <r>
    <s v="ORD200637"/>
    <x v="470"/>
    <s v="C92294"/>
    <x v="3"/>
    <x v="3"/>
    <x v="636"/>
    <x v="443"/>
    <x v="3"/>
    <x v="0"/>
    <s v="TRK23585765"/>
    <x v="0"/>
    <x v="3"/>
    <x v="1"/>
    <x v="636"/>
  </r>
  <r>
    <s v="ORD200638"/>
    <x v="3"/>
    <s v="C66840"/>
    <x v="2"/>
    <x v="3"/>
    <x v="637"/>
    <x v="444"/>
    <x v="1"/>
    <x v="3"/>
    <s v="TRK76929637"/>
    <x v="6"/>
    <x v="3"/>
    <x v="2"/>
    <x v="637"/>
  </r>
  <r>
    <s v="ORD200639"/>
    <x v="325"/>
    <s v="C22534"/>
    <x v="3"/>
    <x v="2"/>
    <x v="638"/>
    <x v="362"/>
    <x v="4"/>
    <x v="1"/>
    <s v="TRK17415798"/>
    <x v="3"/>
    <x v="2"/>
    <x v="1"/>
    <x v="638"/>
  </r>
  <r>
    <s v="ORD200640"/>
    <x v="2"/>
    <s v="C46509"/>
    <x v="3"/>
    <x v="1"/>
    <x v="639"/>
    <x v="97"/>
    <x v="3"/>
    <x v="2"/>
    <s v="TRK24241664"/>
    <x v="5"/>
    <x v="0"/>
    <x v="1"/>
    <x v="639"/>
  </r>
  <r>
    <s v="ORD200641"/>
    <x v="471"/>
    <s v="C71680"/>
    <x v="4"/>
    <x v="3"/>
    <x v="640"/>
    <x v="217"/>
    <x v="0"/>
    <x v="4"/>
    <s v="TRK47386650"/>
    <x v="6"/>
    <x v="3"/>
    <x v="4"/>
    <x v="640"/>
  </r>
  <r>
    <s v="ORD200642"/>
    <x v="472"/>
    <s v="C15063"/>
    <x v="3"/>
    <x v="0"/>
    <x v="641"/>
    <x v="445"/>
    <x v="2"/>
    <x v="1"/>
    <s v="TRK10329390"/>
    <x v="0"/>
    <x v="1"/>
    <x v="2"/>
    <x v="641"/>
  </r>
  <r>
    <s v="ORD200643"/>
    <x v="360"/>
    <s v="C77122"/>
    <x v="5"/>
    <x v="2"/>
    <x v="642"/>
    <x v="97"/>
    <x v="4"/>
    <x v="1"/>
    <s v="TRK75814880"/>
    <x v="4"/>
    <x v="0"/>
    <x v="1"/>
    <x v="642"/>
  </r>
  <r>
    <s v="ORD200644"/>
    <x v="375"/>
    <s v="C86524"/>
    <x v="3"/>
    <x v="1"/>
    <x v="643"/>
    <x v="446"/>
    <x v="4"/>
    <x v="0"/>
    <s v="TRK62490506"/>
    <x v="7"/>
    <x v="3"/>
    <x v="2"/>
    <x v="643"/>
  </r>
  <r>
    <s v="ORD200645"/>
    <x v="315"/>
    <s v="C82990"/>
    <x v="5"/>
    <x v="1"/>
    <x v="644"/>
    <x v="115"/>
    <x v="2"/>
    <x v="1"/>
    <s v="TRK68574801"/>
    <x v="4"/>
    <x v="0"/>
    <x v="3"/>
    <x v="644"/>
  </r>
  <r>
    <s v="ORD200646"/>
    <x v="122"/>
    <s v="C98761"/>
    <x v="3"/>
    <x v="3"/>
    <x v="645"/>
    <x v="447"/>
    <x v="0"/>
    <x v="0"/>
    <s v="TRK43262630"/>
    <x v="4"/>
    <x v="0"/>
    <x v="4"/>
    <x v="645"/>
  </r>
  <r>
    <s v="ORD200647"/>
    <x v="473"/>
    <s v="C54409"/>
    <x v="6"/>
    <x v="4"/>
    <x v="646"/>
    <x v="148"/>
    <x v="4"/>
    <x v="2"/>
    <s v="TRK67671316"/>
    <x v="0"/>
    <x v="1"/>
    <x v="4"/>
    <x v="646"/>
  </r>
  <r>
    <s v="ORD200648"/>
    <x v="474"/>
    <s v="C89674"/>
    <x v="0"/>
    <x v="1"/>
    <x v="647"/>
    <x v="448"/>
    <x v="1"/>
    <x v="3"/>
    <s v="TRK45902512"/>
    <x v="1"/>
    <x v="3"/>
    <x v="1"/>
    <x v="647"/>
  </r>
  <r>
    <s v="ORD200649"/>
    <x v="475"/>
    <s v="C45899"/>
    <x v="0"/>
    <x v="1"/>
    <x v="648"/>
    <x v="222"/>
    <x v="0"/>
    <x v="2"/>
    <s v="TRK32932093"/>
    <x v="0"/>
    <x v="1"/>
    <x v="2"/>
    <x v="648"/>
  </r>
  <r>
    <s v="ORD200650"/>
    <x v="419"/>
    <s v="C74499"/>
    <x v="6"/>
    <x v="1"/>
    <x v="649"/>
    <x v="449"/>
    <x v="3"/>
    <x v="3"/>
    <s v="TRK93767278"/>
    <x v="0"/>
    <x v="0"/>
    <x v="2"/>
    <x v="649"/>
  </r>
  <r>
    <s v="ORD200651"/>
    <x v="476"/>
    <s v="C81192"/>
    <x v="3"/>
    <x v="4"/>
    <x v="650"/>
    <x v="174"/>
    <x v="0"/>
    <x v="4"/>
    <s v="TRK76931118"/>
    <x v="3"/>
    <x v="2"/>
    <x v="4"/>
    <x v="650"/>
  </r>
  <r>
    <s v="ORD200652"/>
    <x v="477"/>
    <s v="C71473"/>
    <x v="3"/>
    <x v="0"/>
    <x v="651"/>
    <x v="450"/>
    <x v="1"/>
    <x v="0"/>
    <s v="TRK94857335"/>
    <x v="2"/>
    <x v="1"/>
    <x v="0"/>
    <x v="651"/>
  </r>
  <r>
    <s v="ORD200653"/>
    <x v="402"/>
    <s v="C59338"/>
    <x v="4"/>
    <x v="4"/>
    <x v="652"/>
    <x v="300"/>
    <x v="2"/>
    <x v="0"/>
    <s v="TRK12902764"/>
    <x v="5"/>
    <x v="3"/>
    <x v="4"/>
    <x v="652"/>
  </r>
  <r>
    <s v="ORD200654"/>
    <x v="439"/>
    <s v="C62661"/>
    <x v="2"/>
    <x v="4"/>
    <x v="653"/>
    <x v="451"/>
    <x v="0"/>
    <x v="2"/>
    <s v="TRK25748100"/>
    <x v="2"/>
    <x v="2"/>
    <x v="0"/>
    <x v="653"/>
  </r>
  <r>
    <s v="ORD200655"/>
    <x v="369"/>
    <s v="C22101"/>
    <x v="3"/>
    <x v="1"/>
    <x v="654"/>
    <x v="348"/>
    <x v="0"/>
    <x v="1"/>
    <s v="TRK70711522"/>
    <x v="4"/>
    <x v="3"/>
    <x v="2"/>
    <x v="654"/>
  </r>
  <r>
    <s v="ORD200656"/>
    <x v="343"/>
    <s v="C51404"/>
    <x v="0"/>
    <x v="1"/>
    <x v="655"/>
    <x v="452"/>
    <x v="3"/>
    <x v="0"/>
    <s v="TRK85682500"/>
    <x v="0"/>
    <x v="0"/>
    <x v="3"/>
    <x v="655"/>
  </r>
  <r>
    <s v="ORD200657"/>
    <x v="478"/>
    <s v="C19384"/>
    <x v="2"/>
    <x v="3"/>
    <x v="656"/>
    <x v="275"/>
    <x v="4"/>
    <x v="1"/>
    <s v="TRK33207064"/>
    <x v="5"/>
    <x v="1"/>
    <x v="0"/>
    <x v="656"/>
  </r>
  <r>
    <s v="ORD200658"/>
    <x v="479"/>
    <s v="C86864"/>
    <x v="4"/>
    <x v="1"/>
    <x v="657"/>
    <x v="247"/>
    <x v="3"/>
    <x v="2"/>
    <s v="TRK15323191"/>
    <x v="4"/>
    <x v="0"/>
    <x v="4"/>
    <x v="657"/>
  </r>
  <r>
    <s v="ORD200659"/>
    <x v="480"/>
    <s v="C24301"/>
    <x v="1"/>
    <x v="1"/>
    <x v="658"/>
    <x v="403"/>
    <x v="3"/>
    <x v="3"/>
    <s v="TRK55000075"/>
    <x v="4"/>
    <x v="3"/>
    <x v="2"/>
    <x v="658"/>
  </r>
  <r>
    <s v="ORD200660"/>
    <x v="481"/>
    <s v="C43842"/>
    <x v="3"/>
    <x v="1"/>
    <x v="659"/>
    <x v="133"/>
    <x v="0"/>
    <x v="0"/>
    <s v="TRK54084424"/>
    <x v="0"/>
    <x v="3"/>
    <x v="3"/>
    <x v="659"/>
  </r>
  <r>
    <s v="ORD200661"/>
    <x v="252"/>
    <s v="C63657"/>
    <x v="2"/>
    <x v="4"/>
    <x v="660"/>
    <x v="453"/>
    <x v="0"/>
    <x v="1"/>
    <s v="TRK86378984"/>
    <x v="5"/>
    <x v="1"/>
    <x v="4"/>
    <x v="660"/>
  </r>
  <r>
    <s v="ORD200662"/>
    <x v="423"/>
    <s v="C98332"/>
    <x v="5"/>
    <x v="4"/>
    <x v="661"/>
    <x v="454"/>
    <x v="4"/>
    <x v="2"/>
    <s v="TRK85744797"/>
    <x v="1"/>
    <x v="2"/>
    <x v="3"/>
    <x v="661"/>
  </r>
  <r>
    <s v="ORD200663"/>
    <x v="116"/>
    <s v="C59774"/>
    <x v="0"/>
    <x v="2"/>
    <x v="662"/>
    <x v="390"/>
    <x v="0"/>
    <x v="1"/>
    <s v="TRK87635135"/>
    <x v="5"/>
    <x v="1"/>
    <x v="0"/>
    <x v="662"/>
  </r>
  <r>
    <s v="ORD200664"/>
    <x v="36"/>
    <s v="C14847"/>
    <x v="5"/>
    <x v="3"/>
    <x v="663"/>
    <x v="455"/>
    <x v="4"/>
    <x v="0"/>
    <s v="TRK46492755"/>
    <x v="3"/>
    <x v="2"/>
    <x v="3"/>
    <x v="663"/>
  </r>
  <r>
    <s v="ORD200665"/>
    <x v="468"/>
    <s v="C83653"/>
    <x v="2"/>
    <x v="3"/>
    <x v="664"/>
    <x v="456"/>
    <x v="1"/>
    <x v="0"/>
    <s v="TRK32619935"/>
    <x v="5"/>
    <x v="3"/>
    <x v="4"/>
    <x v="664"/>
  </r>
  <r>
    <s v="ORD200666"/>
    <x v="169"/>
    <s v="C35711"/>
    <x v="0"/>
    <x v="3"/>
    <x v="665"/>
    <x v="430"/>
    <x v="2"/>
    <x v="1"/>
    <s v="TRK45281495"/>
    <x v="4"/>
    <x v="2"/>
    <x v="2"/>
    <x v="665"/>
  </r>
  <r>
    <s v="ORD200667"/>
    <x v="71"/>
    <s v="C10477"/>
    <x v="5"/>
    <x v="2"/>
    <x v="342"/>
    <x v="180"/>
    <x v="3"/>
    <x v="4"/>
    <s v="TRK41505339"/>
    <x v="3"/>
    <x v="0"/>
    <x v="2"/>
    <x v="666"/>
  </r>
  <r>
    <s v="ORD200668"/>
    <x v="482"/>
    <s v="C61257"/>
    <x v="0"/>
    <x v="1"/>
    <x v="666"/>
    <x v="139"/>
    <x v="4"/>
    <x v="2"/>
    <s v="TRK25226070"/>
    <x v="1"/>
    <x v="3"/>
    <x v="3"/>
    <x v="667"/>
  </r>
  <r>
    <s v="ORD200669"/>
    <x v="483"/>
    <s v="C60547"/>
    <x v="6"/>
    <x v="2"/>
    <x v="667"/>
    <x v="457"/>
    <x v="0"/>
    <x v="1"/>
    <s v="TRK65694249"/>
    <x v="3"/>
    <x v="2"/>
    <x v="1"/>
    <x v="668"/>
  </r>
  <r>
    <s v="ORD200670"/>
    <x v="171"/>
    <s v="C14576"/>
    <x v="6"/>
    <x v="3"/>
    <x v="668"/>
    <x v="300"/>
    <x v="2"/>
    <x v="4"/>
    <s v="TRK21637540"/>
    <x v="2"/>
    <x v="1"/>
    <x v="4"/>
    <x v="669"/>
  </r>
  <r>
    <s v="ORD200671"/>
    <x v="484"/>
    <s v="C49282"/>
    <x v="3"/>
    <x v="0"/>
    <x v="669"/>
    <x v="144"/>
    <x v="3"/>
    <x v="1"/>
    <s v="TRK88653901"/>
    <x v="0"/>
    <x v="3"/>
    <x v="4"/>
    <x v="670"/>
  </r>
  <r>
    <s v="ORD200672"/>
    <x v="221"/>
    <s v="C14017"/>
    <x v="1"/>
    <x v="1"/>
    <x v="670"/>
    <x v="433"/>
    <x v="0"/>
    <x v="0"/>
    <s v="TRK71009446"/>
    <x v="7"/>
    <x v="0"/>
    <x v="0"/>
    <x v="671"/>
  </r>
  <r>
    <s v="ORD200673"/>
    <x v="485"/>
    <s v="C46504"/>
    <x v="2"/>
    <x v="1"/>
    <x v="671"/>
    <x v="102"/>
    <x v="2"/>
    <x v="3"/>
    <s v="TRK95024356"/>
    <x v="0"/>
    <x v="0"/>
    <x v="2"/>
    <x v="672"/>
  </r>
  <r>
    <s v="ORD200674"/>
    <x v="486"/>
    <s v="C56928"/>
    <x v="5"/>
    <x v="3"/>
    <x v="672"/>
    <x v="458"/>
    <x v="3"/>
    <x v="3"/>
    <s v="TRK57792939"/>
    <x v="6"/>
    <x v="0"/>
    <x v="3"/>
    <x v="673"/>
  </r>
  <r>
    <s v="ORD200675"/>
    <x v="76"/>
    <s v="C97749"/>
    <x v="6"/>
    <x v="4"/>
    <x v="673"/>
    <x v="397"/>
    <x v="0"/>
    <x v="4"/>
    <s v="TRK90233116"/>
    <x v="3"/>
    <x v="2"/>
    <x v="2"/>
    <x v="674"/>
  </r>
  <r>
    <s v="ORD200676"/>
    <x v="127"/>
    <s v="C90431"/>
    <x v="5"/>
    <x v="1"/>
    <x v="674"/>
    <x v="454"/>
    <x v="2"/>
    <x v="1"/>
    <s v="TRK44151723"/>
    <x v="4"/>
    <x v="1"/>
    <x v="0"/>
    <x v="675"/>
  </r>
  <r>
    <s v="ORD200677"/>
    <x v="487"/>
    <s v="C56722"/>
    <x v="2"/>
    <x v="0"/>
    <x v="675"/>
    <x v="12"/>
    <x v="1"/>
    <x v="1"/>
    <s v="TRK78778569"/>
    <x v="0"/>
    <x v="1"/>
    <x v="0"/>
    <x v="676"/>
  </r>
  <r>
    <s v="ORD200678"/>
    <x v="167"/>
    <s v="C40863"/>
    <x v="3"/>
    <x v="4"/>
    <x v="676"/>
    <x v="190"/>
    <x v="3"/>
    <x v="0"/>
    <s v="TRK20553345"/>
    <x v="3"/>
    <x v="3"/>
    <x v="3"/>
    <x v="677"/>
  </r>
  <r>
    <s v="ORD200679"/>
    <x v="488"/>
    <s v="C40798"/>
    <x v="2"/>
    <x v="4"/>
    <x v="677"/>
    <x v="323"/>
    <x v="1"/>
    <x v="2"/>
    <s v="TRK66106697"/>
    <x v="3"/>
    <x v="1"/>
    <x v="0"/>
    <x v="678"/>
  </r>
  <r>
    <s v="ORD200680"/>
    <x v="183"/>
    <s v="C16702"/>
    <x v="0"/>
    <x v="4"/>
    <x v="678"/>
    <x v="459"/>
    <x v="2"/>
    <x v="2"/>
    <s v="TRK16953491"/>
    <x v="1"/>
    <x v="2"/>
    <x v="3"/>
    <x v="679"/>
  </r>
  <r>
    <s v="ORD200681"/>
    <x v="489"/>
    <s v="C38262"/>
    <x v="2"/>
    <x v="2"/>
    <x v="679"/>
    <x v="460"/>
    <x v="0"/>
    <x v="0"/>
    <s v="TRK47300502"/>
    <x v="5"/>
    <x v="2"/>
    <x v="2"/>
    <x v="680"/>
  </r>
  <r>
    <s v="ORD200682"/>
    <x v="363"/>
    <s v="C50274"/>
    <x v="0"/>
    <x v="4"/>
    <x v="680"/>
    <x v="367"/>
    <x v="2"/>
    <x v="1"/>
    <s v="TRK91729086"/>
    <x v="3"/>
    <x v="1"/>
    <x v="4"/>
    <x v="681"/>
  </r>
  <r>
    <s v="ORD200683"/>
    <x v="490"/>
    <s v="C91591"/>
    <x v="6"/>
    <x v="3"/>
    <x v="681"/>
    <x v="461"/>
    <x v="4"/>
    <x v="4"/>
    <s v="TRK23554043"/>
    <x v="3"/>
    <x v="1"/>
    <x v="0"/>
    <x v="682"/>
  </r>
  <r>
    <s v="ORD200684"/>
    <x v="491"/>
    <s v="C96583"/>
    <x v="4"/>
    <x v="3"/>
    <x v="682"/>
    <x v="462"/>
    <x v="2"/>
    <x v="0"/>
    <s v="TRK64353241"/>
    <x v="2"/>
    <x v="2"/>
    <x v="2"/>
    <x v="683"/>
  </r>
  <r>
    <s v="ORD200685"/>
    <x v="492"/>
    <s v="C64579"/>
    <x v="6"/>
    <x v="2"/>
    <x v="683"/>
    <x v="463"/>
    <x v="0"/>
    <x v="0"/>
    <s v="TRK10276565"/>
    <x v="3"/>
    <x v="1"/>
    <x v="2"/>
    <x v="684"/>
  </r>
  <r>
    <s v="ORD200686"/>
    <x v="112"/>
    <s v="C41903"/>
    <x v="6"/>
    <x v="4"/>
    <x v="684"/>
    <x v="464"/>
    <x v="4"/>
    <x v="4"/>
    <s v="TRK59112382"/>
    <x v="4"/>
    <x v="3"/>
    <x v="3"/>
    <x v="685"/>
  </r>
  <r>
    <s v="ORD200687"/>
    <x v="493"/>
    <s v="C19742"/>
    <x v="2"/>
    <x v="2"/>
    <x v="685"/>
    <x v="465"/>
    <x v="3"/>
    <x v="2"/>
    <s v="TRK68845230"/>
    <x v="3"/>
    <x v="1"/>
    <x v="0"/>
    <x v="686"/>
  </r>
  <r>
    <s v="ORD200688"/>
    <x v="26"/>
    <s v="C20077"/>
    <x v="0"/>
    <x v="3"/>
    <x v="686"/>
    <x v="432"/>
    <x v="2"/>
    <x v="1"/>
    <s v="TRK36415742"/>
    <x v="2"/>
    <x v="3"/>
    <x v="3"/>
    <x v="687"/>
  </r>
  <r>
    <s v="ORD200689"/>
    <x v="193"/>
    <s v="C13186"/>
    <x v="2"/>
    <x v="1"/>
    <x v="687"/>
    <x v="466"/>
    <x v="1"/>
    <x v="0"/>
    <s v="TRK56967415"/>
    <x v="0"/>
    <x v="2"/>
    <x v="3"/>
    <x v="688"/>
  </r>
  <r>
    <s v="ORD200690"/>
    <x v="494"/>
    <s v="C29318"/>
    <x v="0"/>
    <x v="2"/>
    <x v="688"/>
    <x v="35"/>
    <x v="3"/>
    <x v="2"/>
    <s v="TRK88666721"/>
    <x v="9"/>
    <x v="2"/>
    <x v="0"/>
    <x v="689"/>
  </r>
  <r>
    <s v="ORD200691"/>
    <x v="167"/>
    <s v="C36137"/>
    <x v="5"/>
    <x v="4"/>
    <x v="689"/>
    <x v="467"/>
    <x v="4"/>
    <x v="0"/>
    <s v="TRK57376416"/>
    <x v="2"/>
    <x v="2"/>
    <x v="4"/>
    <x v="690"/>
  </r>
  <r>
    <s v="ORD200692"/>
    <x v="19"/>
    <s v="C25534"/>
    <x v="6"/>
    <x v="0"/>
    <x v="690"/>
    <x v="322"/>
    <x v="2"/>
    <x v="3"/>
    <s v="TRK68347402"/>
    <x v="3"/>
    <x v="3"/>
    <x v="0"/>
    <x v="691"/>
  </r>
  <r>
    <s v="ORD200693"/>
    <x v="495"/>
    <s v="C62070"/>
    <x v="0"/>
    <x v="2"/>
    <x v="691"/>
    <x v="468"/>
    <x v="0"/>
    <x v="2"/>
    <s v="TRK10267127"/>
    <x v="4"/>
    <x v="2"/>
    <x v="1"/>
    <x v="692"/>
  </r>
  <r>
    <s v="ORD200694"/>
    <x v="276"/>
    <s v="C92049"/>
    <x v="4"/>
    <x v="3"/>
    <x v="692"/>
    <x v="285"/>
    <x v="4"/>
    <x v="0"/>
    <s v="TRK32287092"/>
    <x v="2"/>
    <x v="1"/>
    <x v="2"/>
    <x v="693"/>
  </r>
  <r>
    <s v="ORD200695"/>
    <x v="432"/>
    <s v="C52604"/>
    <x v="4"/>
    <x v="0"/>
    <x v="693"/>
    <x v="158"/>
    <x v="1"/>
    <x v="0"/>
    <s v="TRK48839788"/>
    <x v="0"/>
    <x v="1"/>
    <x v="2"/>
    <x v="694"/>
  </r>
  <r>
    <s v="ORD200696"/>
    <x v="226"/>
    <s v="C22429"/>
    <x v="3"/>
    <x v="3"/>
    <x v="694"/>
    <x v="469"/>
    <x v="3"/>
    <x v="4"/>
    <s v="TRK38572927"/>
    <x v="6"/>
    <x v="3"/>
    <x v="3"/>
    <x v="695"/>
  </r>
  <r>
    <s v="ORD200697"/>
    <x v="496"/>
    <s v="C27430"/>
    <x v="4"/>
    <x v="0"/>
    <x v="695"/>
    <x v="430"/>
    <x v="4"/>
    <x v="0"/>
    <s v="TRK45025840"/>
    <x v="5"/>
    <x v="3"/>
    <x v="2"/>
    <x v="696"/>
  </r>
  <r>
    <s v="ORD200698"/>
    <x v="0"/>
    <s v="C44366"/>
    <x v="5"/>
    <x v="1"/>
    <x v="696"/>
    <x v="382"/>
    <x v="4"/>
    <x v="3"/>
    <s v="TRK48658394"/>
    <x v="7"/>
    <x v="3"/>
    <x v="0"/>
    <x v="697"/>
  </r>
  <r>
    <s v="ORD200699"/>
    <x v="497"/>
    <s v="C36813"/>
    <x v="5"/>
    <x v="4"/>
    <x v="697"/>
    <x v="470"/>
    <x v="3"/>
    <x v="1"/>
    <s v="TRK84088900"/>
    <x v="1"/>
    <x v="2"/>
    <x v="3"/>
    <x v="698"/>
  </r>
  <r>
    <s v="ORD200700"/>
    <x v="498"/>
    <s v="C40201"/>
    <x v="5"/>
    <x v="1"/>
    <x v="698"/>
    <x v="471"/>
    <x v="4"/>
    <x v="2"/>
    <s v="TRK30198779"/>
    <x v="1"/>
    <x v="3"/>
    <x v="0"/>
    <x v="699"/>
  </r>
  <r>
    <s v="ORD200701"/>
    <x v="499"/>
    <s v="C75456"/>
    <x v="0"/>
    <x v="4"/>
    <x v="699"/>
    <x v="107"/>
    <x v="2"/>
    <x v="3"/>
    <s v="TRK90519490"/>
    <x v="3"/>
    <x v="1"/>
    <x v="2"/>
    <x v="700"/>
  </r>
  <r>
    <s v="ORD200702"/>
    <x v="410"/>
    <s v="C33315"/>
    <x v="4"/>
    <x v="4"/>
    <x v="700"/>
    <x v="432"/>
    <x v="0"/>
    <x v="2"/>
    <s v="TRK43589369"/>
    <x v="5"/>
    <x v="2"/>
    <x v="2"/>
    <x v="701"/>
  </r>
  <r>
    <s v="ORD200703"/>
    <x v="500"/>
    <s v="C89336"/>
    <x v="6"/>
    <x v="2"/>
    <x v="701"/>
    <x v="472"/>
    <x v="4"/>
    <x v="4"/>
    <s v="TRK47665103"/>
    <x v="1"/>
    <x v="3"/>
    <x v="2"/>
    <x v="702"/>
  </r>
  <r>
    <s v="ORD200704"/>
    <x v="301"/>
    <s v="C96034"/>
    <x v="6"/>
    <x v="3"/>
    <x v="702"/>
    <x v="145"/>
    <x v="1"/>
    <x v="3"/>
    <s v="TRK87261034"/>
    <x v="6"/>
    <x v="1"/>
    <x v="4"/>
    <x v="703"/>
  </r>
  <r>
    <s v="ORD200705"/>
    <x v="501"/>
    <s v="C50114"/>
    <x v="0"/>
    <x v="1"/>
    <x v="703"/>
    <x v="473"/>
    <x v="0"/>
    <x v="2"/>
    <s v="TRK20214786"/>
    <x v="0"/>
    <x v="1"/>
    <x v="0"/>
    <x v="704"/>
  </r>
  <r>
    <s v="ORD200706"/>
    <x v="380"/>
    <s v="C85330"/>
    <x v="6"/>
    <x v="0"/>
    <x v="704"/>
    <x v="310"/>
    <x v="3"/>
    <x v="2"/>
    <s v="TRK97693301"/>
    <x v="6"/>
    <x v="1"/>
    <x v="3"/>
    <x v="705"/>
  </r>
  <r>
    <s v="ORD200707"/>
    <x v="377"/>
    <s v="C31761"/>
    <x v="3"/>
    <x v="3"/>
    <x v="705"/>
    <x v="77"/>
    <x v="3"/>
    <x v="1"/>
    <s v="TRK17628852"/>
    <x v="5"/>
    <x v="0"/>
    <x v="3"/>
    <x v="706"/>
  </r>
  <r>
    <s v="ORD200708"/>
    <x v="155"/>
    <s v="C25268"/>
    <x v="4"/>
    <x v="2"/>
    <x v="706"/>
    <x v="430"/>
    <x v="4"/>
    <x v="4"/>
    <s v="TRK20481215"/>
    <x v="1"/>
    <x v="1"/>
    <x v="0"/>
    <x v="707"/>
  </r>
  <r>
    <s v="ORD200709"/>
    <x v="34"/>
    <s v="C17132"/>
    <x v="6"/>
    <x v="2"/>
    <x v="707"/>
    <x v="474"/>
    <x v="1"/>
    <x v="4"/>
    <s v="TRK37504692"/>
    <x v="4"/>
    <x v="1"/>
    <x v="4"/>
    <x v="708"/>
  </r>
  <r>
    <s v="ORD200710"/>
    <x v="319"/>
    <s v="C48790"/>
    <x v="5"/>
    <x v="0"/>
    <x v="708"/>
    <x v="475"/>
    <x v="3"/>
    <x v="2"/>
    <s v="TRK19086608"/>
    <x v="8"/>
    <x v="2"/>
    <x v="4"/>
    <x v="709"/>
  </r>
  <r>
    <s v="ORD200711"/>
    <x v="502"/>
    <s v="C61070"/>
    <x v="2"/>
    <x v="1"/>
    <x v="709"/>
    <x v="476"/>
    <x v="1"/>
    <x v="0"/>
    <s v="TRK90764894"/>
    <x v="7"/>
    <x v="3"/>
    <x v="4"/>
    <x v="710"/>
  </r>
  <r>
    <s v="ORD200712"/>
    <x v="486"/>
    <s v="C56969"/>
    <x v="2"/>
    <x v="1"/>
    <x v="710"/>
    <x v="477"/>
    <x v="3"/>
    <x v="4"/>
    <s v="TRK10513339"/>
    <x v="0"/>
    <x v="1"/>
    <x v="2"/>
    <x v="711"/>
  </r>
  <r>
    <s v="ORD200713"/>
    <x v="370"/>
    <s v="C65056"/>
    <x v="2"/>
    <x v="3"/>
    <x v="711"/>
    <x v="463"/>
    <x v="1"/>
    <x v="1"/>
    <s v="TRK31705278"/>
    <x v="5"/>
    <x v="0"/>
    <x v="3"/>
    <x v="712"/>
  </r>
  <r>
    <s v="ORD200714"/>
    <x v="453"/>
    <s v="C84888"/>
    <x v="5"/>
    <x v="2"/>
    <x v="712"/>
    <x v="250"/>
    <x v="0"/>
    <x v="4"/>
    <s v="TRK23612847"/>
    <x v="9"/>
    <x v="1"/>
    <x v="3"/>
    <x v="713"/>
  </r>
  <r>
    <s v="ORD200715"/>
    <x v="503"/>
    <s v="C68266"/>
    <x v="4"/>
    <x v="4"/>
    <x v="713"/>
    <x v="478"/>
    <x v="1"/>
    <x v="3"/>
    <s v="TRK96161062"/>
    <x v="0"/>
    <x v="1"/>
    <x v="2"/>
    <x v="714"/>
  </r>
  <r>
    <s v="ORD200716"/>
    <x v="136"/>
    <s v="C84115"/>
    <x v="3"/>
    <x v="4"/>
    <x v="714"/>
    <x v="18"/>
    <x v="2"/>
    <x v="4"/>
    <s v="TRK25466842"/>
    <x v="4"/>
    <x v="3"/>
    <x v="4"/>
    <x v="715"/>
  </r>
  <r>
    <s v="ORD200717"/>
    <x v="504"/>
    <s v="C50087"/>
    <x v="3"/>
    <x v="4"/>
    <x v="715"/>
    <x v="479"/>
    <x v="1"/>
    <x v="3"/>
    <s v="TRK31143760"/>
    <x v="4"/>
    <x v="3"/>
    <x v="2"/>
    <x v="716"/>
  </r>
  <r>
    <s v="ORD200718"/>
    <x v="505"/>
    <s v="C16790"/>
    <x v="5"/>
    <x v="3"/>
    <x v="716"/>
    <x v="480"/>
    <x v="3"/>
    <x v="1"/>
    <s v="TRK91791367"/>
    <x v="2"/>
    <x v="0"/>
    <x v="4"/>
    <x v="717"/>
  </r>
  <r>
    <s v="ORD200719"/>
    <x v="506"/>
    <s v="C46920"/>
    <x v="5"/>
    <x v="1"/>
    <x v="717"/>
    <x v="481"/>
    <x v="0"/>
    <x v="0"/>
    <s v="TRK86403837"/>
    <x v="1"/>
    <x v="1"/>
    <x v="3"/>
    <x v="718"/>
  </r>
  <r>
    <s v="ORD200720"/>
    <x v="507"/>
    <s v="C12740"/>
    <x v="6"/>
    <x v="0"/>
    <x v="718"/>
    <x v="482"/>
    <x v="4"/>
    <x v="4"/>
    <s v="TRK98506513"/>
    <x v="8"/>
    <x v="1"/>
    <x v="0"/>
    <x v="719"/>
  </r>
  <r>
    <s v="ORD200721"/>
    <x v="508"/>
    <s v="C46557"/>
    <x v="6"/>
    <x v="1"/>
    <x v="719"/>
    <x v="483"/>
    <x v="2"/>
    <x v="3"/>
    <s v="TRK56110689"/>
    <x v="7"/>
    <x v="2"/>
    <x v="2"/>
    <x v="720"/>
  </r>
  <r>
    <s v="ORD200722"/>
    <x v="64"/>
    <s v="C58156"/>
    <x v="4"/>
    <x v="2"/>
    <x v="720"/>
    <x v="244"/>
    <x v="3"/>
    <x v="4"/>
    <s v="TRK49719458"/>
    <x v="9"/>
    <x v="3"/>
    <x v="0"/>
    <x v="721"/>
  </r>
  <r>
    <s v="ORD200723"/>
    <x v="509"/>
    <s v="C14455"/>
    <x v="6"/>
    <x v="4"/>
    <x v="721"/>
    <x v="61"/>
    <x v="4"/>
    <x v="2"/>
    <s v="TRK50933724"/>
    <x v="2"/>
    <x v="0"/>
    <x v="1"/>
    <x v="722"/>
  </r>
  <r>
    <s v="ORD200724"/>
    <x v="266"/>
    <s v="C63150"/>
    <x v="4"/>
    <x v="4"/>
    <x v="722"/>
    <x v="257"/>
    <x v="2"/>
    <x v="2"/>
    <s v="TRK19348078"/>
    <x v="4"/>
    <x v="1"/>
    <x v="1"/>
    <x v="723"/>
  </r>
  <r>
    <s v="ORD200725"/>
    <x v="255"/>
    <s v="C95269"/>
    <x v="3"/>
    <x v="1"/>
    <x v="723"/>
    <x v="377"/>
    <x v="3"/>
    <x v="2"/>
    <s v="TRK45670926"/>
    <x v="3"/>
    <x v="2"/>
    <x v="1"/>
    <x v="724"/>
  </r>
  <r>
    <s v="ORD200726"/>
    <x v="510"/>
    <s v="C18105"/>
    <x v="5"/>
    <x v="3"/>
    <x v="724"/>
    <x v="484"/>
    <x v="1"/>
    <x v="3"/>
    <s v="TRK94006117"/>
    <x v="4"/>
    <x v="1"/>
    <x v="3"/>
    <x v="725"/>
  </r>
  <r>
    <s v="ORD200727"/>
    <x v="470"/>
    <s v="C29063"/>
    <x v="3"/>
    <x v="0"/>
    <x v="725"/>
    <x v="338"/>
    <x v="1"/>
    <x v="0"/>
    <s v="TRK92745947"/>
    <x v="2"/>
    <x v="0"/>
    <x v="0"/>
    <x v="726"/>
  </r>
  <r>
    <s v="ORD200728"/>
    <x v="511"/>
    <s v="C10154"/>
    <x v="6"/>
    <x v="3"/>
    <x v="726"/>
    <x v="485"/>
    <x v="3"/>
    <x v="0"/>
    <s v="TRK79793300"/>
    <x v="2"/>
    <x v="3"/>
    <x v="2"/>
    <x v="727"/>
  </r>
  <r>
    <s v="ORD200729"/>
    <x v="102"/>
    <s v="C36997"/>
    <x v="1"/>
    <x v="3"/>
    <x v="727"/>
    <x v="145"/>
    <x v="3"/>
    <x v="4"/>
    <s v="TRK92794872"/>
    <x v="5"/>
    <x v="0"/>
    <x v="4"/>
    <x v="728"/>
  </r>
  <r>
    <s v="ORD200730"/>
    <x v="512"/>
    <s v="C77357"/>
    <x v="1"/>
    <x v="2"/>
    <x v="728"/>
    <x v="208"/>
    <x v="0"/>
    <x v="3"/>
    <s v="TRK91943923"/>
    <x v="4"/>
    <x v="0"/>
    <x v="2"/>
    <x v="729"/>
  </r>
  <r>
    <s v="ORD200731"/>
    <x v="267"/>
    <s v="C71310"/>
    <x v="4"/>
    <x v="0"/>
    <x v="729"/>
    <x v="486"/>
    <x v="2"/>
    <x v="2"/>
    <s v="TRK48292586"/>
    <x v="2"/>
    <x v="2"/>
    <x v="2"/>
    <x v="730"/>
  </r>
  <r>
    <s v="ORD200732"/>
    <x v="456"/>
    <s v="C80987"/>
    <x v="5"/>
    <x v="2"/>
    <x v="730"/>
    <x v="466"/>
    <x v="1"/>
    <x v="3"/>
    <s v="TRK42187776"/>
    <x v="7"/>
    <x v="2"/>
    <x v="4"/>
    <x v="731"/>
  </r>
  <r>
    <s v="ORD200733"/>
    <x v="513"/>
    <s v="C90757"/>
    <x v="2"/>
    <x v="3"/>
    <x v="731"/>
    <x v="459"/>
    <x v="4"/>
    <x v="2"/>
    <s v="TRK87991608"/>
    <x v="2"/>
    <x v="0"/>
    <x v="2"/>
    <x v="732"/>
  </r>
  <r>
    <s v="ORD200734"/>
    <x v="514"/>
    <s v="C51898"/>
    <x v="4"/>
    <x v="3"/>
    <x v="732"/>
    <x v="245"/>
    <x v="2"/>
    <x v="2"/>
    <s v="TRK19767885"/>
    <x v="5"/>
    <x v="3"/>
    <x v="3"/>
    <x v="733"/>
  </r>
  <r>
    <s v="ORD200735"/>
    <x v="515"/>
    <s v="C94508"/>
    <x v="0"/>
    <x v="3"/>
    <x v="733"/>
    <x v="319"/>
    <x v="0"/>
    <x v="4"/>
    <s v="TRK13443264"/>
    <x v="5"/>
    <x v="2"/>
    <x v="2"/>
    <x v="734"/>
  </r>
  <r>
    <s v="ORD200736"/>
    <x v="516"/>
    <s v="C59441"/>
    <x v="0"/>
    <x v="0"/>
    <x v="734"/>
    <x v="386"/>
    <x v="2"/>
    <x v="4"/>
    <s v="TRK66186874"/>
    <x v="5"/>
    <x v="1"/>
    <x v="4"/>
    <x v="735"/>
  </r>
  <r>
    <s v="ORD200737"/>
    <x v="517"/>
    <s v="C91029"/>
    <x v="1"/>
    <x v="3"/>
    <x v="735"/>
    <x v="487"/>
    <x v="4"/>
    <x v="4"/>
    <s v="TRK25501930"/>
    <x v="6"/>
    <x v="1"/>
    <x v="0"/>
    <x v="736"/>
  </r>
  <r>
    <s v="ORD200738"/>
    <x v="518"/>
    <s v="C96261"/>
    <x v="1"/>
    <x v="1"/>
    <x v="736"/>
    <x v="488"/>
    <x v="2"/>
    <x v="0"/>
    <s v="TRK44998396"/>
    <x v="3"/>
    <x v="0"/>
    <x v="2"/>
    <x v="737"/>
  </r>
  <r>
    <s v="ORD200739"/>
    <x v="136"/>
    <s v="C35123"/>
    <x v="1"/>
    <x v="3"/>
    <x v="737"/>
    <x v="122"/>
    <x v="4"/>
    <x v="3"/>
    <s v="TRK58979275"/>
    <x v="4"/>
    <x v="0"/>
    <x v="3"/>
    <x v="738"/>
  </r>
  <r>
    <s v="ORD200740"/>
    <x v="351"/>
    <s v="C10892"/>
    <x v="6"/>
    <x v="1"/>
    <x v="738"/>
    <x v="339"/>
    <x v="4"/>
    <x v="4"/>
    <s v="TRK76154554"/>
    <x v="0"/>
    <x v="2"/>
    <x v="4"/>
    <x v="739"/>
  </r>
  <r>
    <s v="ORD200741"/>
    <x v="185"/>
    <s v="C99683"/>
    <x v="0"/>
    <x v="0"/>
    <x v="739"/>
    <x v="489"/>
    <x v="3"/>
    <x v="3"/>
    <s v="TRK87305883"/>
    <x v="8"/>
    <x v="2"/>
    <x v="1"/>
    <x v="740"/>
  </r>
  <r>
    <s v="ORD200742"/>
    <x v="519"/>
    <s v="C41974"/>
    <x v="5"/>
    <x v="4"/>
    <x v="740"/>
    <x v="254"/>
    <x v="4"/>
    <x v="2"/>
    <s v="TRK48051468"/>
    <x v="0"/>
    <x v="0"/>
    <x v="4"/>
    <x v="741"/>
  </r>
  <r>
    <s v="ORD200743"/>
    <x v="430"/>
    <s v="C23978"/>
    <x v="0"/>
    <x v="2"/>
    <x v="741"/>
    <x v="38"/>
    <x v="3"/>
    <x v="2"/>
    <s v="TRK87090813"/>
    <x v="9"/>
    <x v="3"/>
    <x v="0"/>
    <x v="742"/>
  </r>
  <r>
    <s v="ORD200744"/>
    <x v="520"/>
    <s v="C10642"/>
    <x v="2"/>
    <x v="1"/>
    <x v="742"/>
    <x v="490"/>
    <x v="4"/>
    <x v="3"/>
    <s v="TRK98725693"/>
    <x v="3"/>
    <x v="0"/>
    <x v="4"/>
    <x v="743"/>
  </r>
  <r>
    <s v="ORD200745"/>
    <x v="521"/>
    <s v="C73813"/>
    <x v="4"/>
    <x v="3"/>
    <x v="743"/>
    <x v="491"/>
    <x v="0"/>
    <x v="4"/>
    <s v="TRK89906749"/>
    <x v="0"/>
    <x v="1"/>
    <x v="2"/>
    <x v="744"/>
  </r>
  <r>
    <s v="ORD200746"/>
    <x v="522"/>
    <s v="C32183"/>
    <x v="6"/>
    <x v="4"/>
    <x v="744"/>
    <x v="492"/>
    <x v="1"/>
    <x v="1"/>
    <s v="TRK76287027"/>
    <x v="5"/>
    <x v="3"/>
    <x v="1"/>
    <x v="745"/>
  </r>
  <r>
    <s v="ORD200747"/>
    <x v="495"/>
    <s v="C54277"/>
    <x v="2"/>
    <x v="1"/>
    <x v="745"/>
    <x v="493"/>
    <x v="0"/>
    <x v="3"/>
    <s v="TRK26500181"/>
    <x v="0"/>
    <x v="1"/>
    <x v="0"/>
    <x v="746"/>
  </r>
  <r>
    <s v="ORD200748"/>
    <x v="523"/>
    <s v="C56553"/>
    <x v="2"/>
    <x v="4"/>
    <x v="746"/>
    <x v="379"/>
    <x v="2"/>
    <x v="0"/>
    <s v="TRK37667360"/>
    <x v="2"/>
    <x v="1"/>
    <x v="1"/>
    <x v="747"/>
  </r>
  <r>
    <s v="ORD200749"/>
    <x v="524"/>
    <s v="C17551"/>
    <x v="5"/>
    <x v="2"/>
    <x v="747"/>
    <x v="494"/>
    <x v="0"/>
    <x v="4"/>
    <s v="TRK88797170"/>
    <x v="4"/>
    <x v="1"/>
    <x v="0"/>
    <x v="748"/>
  </r>
  <r>
    <s v="ORD200750"/>
    <x v="90"/>
    <s v="C14737"/>
    <x v="2"/>
    <x v="3"/>
    <x v="748"/>
    <x v="495"/>
    <x v="2"/>
    <x v="2"/>
    <s v="TRK10295115"/>
    <x v="0"/>
    <x v="1"/>
    <x v="2"/>
    <x v="749"/>
  </r>
  <r>
    <s v="ORD200751"/>
    <x v="16"/>
    <s v="C35168"/>
    <x v="2"/>
    <x v="1"/>
    <x v="749"/>
    <x v="496"/>
    <x v="3"/>
    <x v="4"/>
    <s v="TRK76960854"/>
    <x v="0"/>
    <x v="1"/>
    <x v="3"/>
    <x v="750"/>
  </r>
  <r>
    <s v="ORD200752"/>
    <x v="525"/>
    <s v="C82217"/>
    <x v="1"/>
    <x v="3"/>
    <x v="750"/>
    <x v="238"/>
    <x v="2"/>
    <x v="3"/>
    <s v="TRK33305694"/>
    <x v="2"/>
    <x v="1"/>
    <x v="4"/>
    <x v="751"/>
  </r>
  <r>
    <s v="ORD200753"/>
    <x v="526"/>
    <s v="C42270"/>
    <x v="1"/>
    <x v="1"/>
    <x v="751"/>
    <x v="497"/>
    <x v="0"/>
    <x v="2"/>
    <s v="TRK72697796"/>
    <x v="0"/>
    <x v="1"/>
    <x v="0"/>
    <x v="752"/>
  </r>
  <r>
    <s v="ORD200754"/>
    <x v="133"/>
    <s v="C48846"/>
    <x v="4"/>
    <x v="1"/>
    <x v="752"/>
    <x v="498"/>
    <x v="2"/>
    <x v="2"/>
    <s v="TRK52804097"/>
    <x v="1"/>
    <x v="3"/>
    <x v="2"/>
    <x v="753"/>
  </r>
  <r>
    <s v="ORD200755"/>
    <x v="527"/>
    <s v="C54160"/>
    <x v="6"/>
    <x v="4"/>
    <x v="753"/>
    <x v="499"/>
    <x v="2"/>
    <x v="4"/>
    <s v="TRK60515972"/>
    <x v="4"/>
    <x v="2"/>
    <x v="2"/>
    <x v="754"/>
  </r>
  <r>
    <s v="ORD200756"/>
    <x v="326"/>
    <s v="C14080"/>
    <x v="1"/>
    <x v="2"/>
    <x v="754"/>
    <x v="54"/>
    <x v="3"/>
    <x v="0"/>
    <s v="TRK93163682"/>
    <x v="5"/>
    <x v="2"/>
    <x v="4"/>
    <x v="755"/>
  </r>
  <r>
    <s v="ORD200757"/>
    <x v="27"/>
    <s v="C81074"/>
    <x v="6"/>
    <x v="2"/>
    <x v="755"/>
    <x v="171"/>
    <x v="0"/>
    <x v="3"/>
    <s v="TRK91105190"/>
    <x v="7"/>
    <x v="1"/>
    <x v="4"/>
    <x v="756"/>
  </r>
  <r>
    <s v="ORD200758"/>
    <x v="465"/>
    <s v="C69021"/>
    <x v="2"/>
    <x v="4"/>
    <x v="756"/>
    <x v="69"/>
    <x v="2"/>
    <x v="1"/>
    <s v="TRK57148510"/>
    <x v="2"/>
    <x v="3"/>
    <x v="3"/>
    <x v="757"/>
  </r>
  <r>
    <s v="ORD200759"/>
    <x v="528"/>
    <s v="C96283"/>
    <x v="6"/>
    <x v="4"/>
    <x v="757"/>
    <x v="500"/>
    <x v="4"/>
    <x v="4"/>
    <s v="TRK91784124"/>
    <x v="1"/>
    <x v="1"/>
    <x v="3"/>
    <x v="758"/>
  </r>
  <r>
    <s v="ORD200760"/>
    <x v="403"/>
    <s v="C96636"/>
    <x v="6"/>
    <x v="2"/>
    <x v="758"/>
    <x v="160"/>
    <x v="0"/>
    <x v="1"/>
    <s v="TRK73324346"/>
    <x v="3"/>
    <x v="2"/>
    <x v="4"/>
    <x v="759"/>
  </r>
  <r>
    <s v="ORD200761"/>
    <x v="454"/>
    <s v="C37235"/>
    <x v="6"/>
    <x v="3"/>
    <x v="759"/>
    <x v="501"/>
    <x v="0"/>
    <x v="3"/>
    <s v="TRK67789367"/>
    <x v="0"/>
    <x v="2"/>
    <x v="4"/>
    <x v="760"/>
  </r>
  <r>
    <s v="ORD200762"/>
    <x v="529"/>
    <s v="C12444"/>
    <x v="1"/>
    <x v="4"/>
    <x v="760"/>
    <x v="84"/>
    <x v="4"/>
    <x v="2"/>
    <s v="TRK97621403"/>
    <x v="2"/>
    <x v="1"/>
    <x v="2"/>
    <x v="761"/>
  </r>
  <r>
    <s v="ORD200763"/>
    <x v="388"/>
    <s v="C79142"/>
    <x v="5"/>
    <x v="2"/>
    <x v="761"/>
    <x v="91"/>
    <x v="1"/>
    <x v="3"/>
    <s v="TRK30915955"/>
    <x v="4"/>
    <x v="1"/>
    <x v="2"/>
    <x v="762"/>
  </r>
  <r>
    <s v="ORD200764"/>
    <x v="416"/>
    <s v="C35983"/>
    <x v="5"/>
    <x v="0"/>
    <x v="762"/>
    <x v="155"/>
    <x v="2"/>
    <x v="1"/>
    <s v="TRK14016163"/>
    <x v="8"/>
    <x v="1"/>
    <x v="2"/>
    <x v="763"/>
  </r>
  <r>
    <s v="ORD200765"/>
    <x v="426"/>
    <s v="C36150"/>
    <x v="5"/>
    <x v="1"/>
    <x v="763"/>
    <x v="478"/>
    <x v="0"/>
    <x v="2"/>
    <s v="TRK96249043"/>
    <x v="3"/>
    <x v="0"/>
    <x v="4"/>
    <x v="764"/>
  </r>
  <r>
    <s v="ORD200766"/>
    <x v="55"/>
    <s v="C91454"/>
    <x v="4"/>
    <x v="1"/>
    <x v="764"/>
    <x v="294"/>
    <x v="0"/>
    <x v="4"/>
    <s v="TRK99985340"/>
    <x v="1"/>
    <x v="1"/>
    <x v="1"/>
    <x v="765"/>
  </r>
  <r>
    <s v="ORD200767"/>
    <x v="479"/>
    <s v="C19368"/>
    <x v="2"/>
    <x v="1"/>
    <x v="765"/>
    <x v="502"/>
    <x v="2"/>
    <x v="3"/>
    <s v="TRK80436037"/>
    <x v="0"/>
    <x v="2"/>
    <x v="0"/>
    <x v="766"/>
  </r>
  <r>
    <s v="ORD200768"/>
    <x v="355"/>
    <s v="C35987"/>
    <x v="2"/>
    <x v="0"/>
    <x v="766"/>
    <x v="503"/>
    <x v="4"/>
    <x v="1"/>
    <s v="TRK28918815"/>
    <x v="6"/>
    <x v="3"/>
    <x v="2"/>
    <x v="767"/>
  </r>
  <r>
    <s v="ORD200769"/>
    <x v="117"/>
    <s v="C13366"/>
    <x v="4"/>
    <x v="3"/>
    <x v="767"/>
    <x v="28"/>
    <x v="4"/>
    <x v="3"/>
    <s v="TRK98691410"/>
    <x v="3"/>
    <x v="2"/>
    <x v="2"/>
    <x v="768"/>
  </r>
  <r>
    <s v="ORD200770"/>
    <x v="530"/>
    <s v="C72166"/>
    <x v="6"/>
    <x v="2"/>
    <x v="768"/>
    <x v="347"/>
    <x v="1"/>
    <x v="2"/>
    <s v="TRK67733444"/>
    <x v="5"/>
    <x v="2"/>
    <x v="4"/>
    <x v="769"/>
  </r>
  <r>
    <s v="ORD200771"/>
    <x v="520"/>
    <s v="C20357"/>
    <x v="1"/>
    <x v="4"/>
    <x v="769"/>
    <x v="314"/>
    <x v="0"/>
    <x v="1"/>
    <s v="TRK82236408"/>
    <x v="2"/>
    <x v="1"/>
    <x v="4"/>
    <x v="770"/>
  </r>
  <r>
    <s v="ORD200772"/>
    <x v="118"/>
    <s v="C33802"/>
    <x v="0"/>
    <x v="2"/>
    <x v="770"/>
    <x v="504"/>
    <x v="1"/>
    <x v="3"/>
    <s v="TRK25799478"/>
    <x v="4"/>
    <x v="2"/>
    <x v="0"/>
    <x v="771"/>
  </r>
  <r>
    <s v="ORD200773"/>
    <x v="164"/>
    <s v="C99205"/>
    <x v="1"/>
    <x v="1"/>
    <x v="771"/>
    <x v="505"/>
    <x v="4"/>
    <x v="1"/>
    <s v="TRK48904015"/>
    <x v="0"/>
    <x v="2"/>
    <x v="3"/>
    <x v="772"/>
  </r>
  <r>
    <s v="ORD200774"/>
    <x v="198"/>
    <s v="C29701"/>
    <x v="3"/>
    <x v="4"/>
    <x v="772"/>
    <x v="506"/>
    <x v="2"/>
    <x v="1"/>
    <s v="TRK42266846"/>
    <x v="1"/>
    <x v="1"/>
    <x v="0"/>
    <x v="773"/>
  </r>
  <r>
    <s v="ORD200775"/>
    <x v="190"/>
    <s v="C73941"/>
    <x v="1"/>
    <x v="1"/>
    <x v="773"/>
    <x v="21"/>
    <x v="1"/>
    <x v="1"/>
    <s v="TRK22051900"/>
    <x v="3"/>
    <x v="2"/>
    <x v="4"/>
    <x v="774"/>
  </r>
  <r>
    <s v="ORD200776"/>
    <x v="531"/>
    <s v="C69168"/>
    <x v="2"/>
    <x v="2"/>
    <x v="774"/>
    <x v="507"/>
    <x v="4"/>
    <x v="2"/>
    <s v="TRK10446197"/>
    <x v="3"/>
    <x v="3"/>
    <x v="4"/>
    <x v="775"/>
  </r>
  <r>
    <s v="ORD200777"/>
    <x v="438"/>
    <s v="C66116"/>
    <x v="3"/>
    <x v="0"/>
    <x v="775"/>
    <x v="22"/>
    <x v="1"/>
    <x v="1"/>
    <s v="TRK41967983"/>
    <x v="0"/>
    <x v="2"/>
    <x v="3"/>
    <x v="776"/>
  </r>
  <r>
    <s v="ORD200778"/>
    <x v="200"/>
    <s v="C85059"/>
    <x v="5"/>
    <x v="3"/>
    <x v="776"/>
    <x v="508"/>
    <x v="2"/>
    <x v="0"/>
    <s v="TRK56503740"/>
    <x v="2"/>
    <x v="3"/>
    <x v="4"/>
    <x v="777"/>
  </r>
  <r>
    <s v="ORD200779"/>
    <x v="142"/>
    <s v="C18076"/>
    <x v="1"/>
    <x v="4"/>
    <x v="777"/>
    <x v="509"/>
    <x v="0"/>
    <x v="4"/>
    <s v="TRK26661705"/>
    <x v="2"/>
    <x v="1"/>
    <x v="2"/>
    <x v="778"/>
  </r>
  <r>
    <s v="ORD200780"/>
    <x v="74"/>
    <s v="C41284"/>
    <x v="5"/>
    <x v="3"/>
    <x v="778"/>
    <x v="345"/>
    <x v="1"/>
    <x v="1"/>
    <s v="TRK73613128"/>
    <x v="4"/>
    <x v="3"/>
    <x v="4"/>
    <x v="779"/>
  </r>
  <r>
    <s v="ORD200781"/>
    <x v="532"/>
    <s v="C43524"/>
    <x v="1"/>
    <x v="0"/>
    <x v="779"/>
    <x v="5"/>
    <x v="3"/>
    <x v="3"/>
    <s v="TRK51479426"/>
    <x v="3"/>
    <x v="1"/>
    <x v="1"/>
    <x v="780"/>
  </r>
  <r>
    <s v="ORD200782"/>
    <x v="533"/>
    <s v="C58063"/>
    <x v="0"/>
    <x v="1"/>
    <x v="780"/>
    <x v="414"/>
    <x v="1"/>
    <x v="2"/>
    <s v="TRK50548869"/>
    <x v="5"/>
    <x v="0"/>
    <x v="1"/>
    <x v="781"/>
  </r>
  <r>
    <s v="ORD200783"/>
    <x v="534"/>
    <s v="C19937"/>
    <x v="4"/>
    <x v="2"/>
    <x v="781"/>
    <x v="478"/>
    <x v="3"/>
    <x v="2"/>
    <s v="TRK46990083"/>
    <x v="3"/>
    <x v="1"/>
    <x v="3"/>
    <x v="782"/>
  </r>
  <r>
    <s v="ORD200784"/>
    <x v="535"/>
    <s v="C21191"/>
    <x v="5"/>
    <x v="2"/>
    <x v="782"/>
    <x v="49"/>
    <x v="2"/>
    <x v="4"/>
    <s v="TRK85771230"/>
    <x v="9"/>
    <x v="3"/>
    <x v="1"/>
    <x v="783"/>
  </r>
  <r>
    <s v="ORD200785"/>
    <x v="536"/>
    <s v="C45862"/>
    <x v="3"/>
    <x v="2"/>
    <x v="783"/>
    <x v="510"/>
    <x v="2"/>
    <x v="4"/>
    <s v="TRK53089983"/>
    <x v="9"/>
    <x v="0"/>
    <x v="0"/>
    <x v="784"/>
  </r>
  <r>
    <s v="ORD200786"/>
    <x v="421"/>
    <s v="C39130"/>
    <x v="3"/>
    <x v="0"/>
    <x v="784"/>
    <x v="511"/>
    <x v="1"/>
    <x v="1"/>
    <s v="TRK99583414"/>
    <x v="2"/>
    <x v="2"/>
    <x v="1"/>
    <x v="785"/>
  </r>
  <r>
    <s v="ORD200787"/>
    <x v="537"/>
    <s v="C18167"/>
    <x v="6"/>
    <x v="3"/>
    <x v="785"/>
    <x v="512"/>
    <x v="4"/>
    <x v="3"/>
    <s v="TRK36841089"/>
    <x v="0"/>
    <x v="2"/>
    <x v="4"/>
    <x v="786"/>
  </r>
  <r>
    <s v="ORD200788"/>
    <x v="208"/>
    <s v="C47307"/>
    <x v="3"/>
    <x v="1"/>
    <x v="786"/>
    <x v="513"/>
    <x v="1"/>
    <x v="4"/>
    <s v="TRK43516112"/>
    <x v="3"/>
    <x v="1"/>
    <x v="0"/>
    <x v="787"/>
  </r>
  <r>
    <s v="ORD200789"/>
    <x v="538"/>
    <s v="C57276"/>
    <x v="2"/>
    <x v="0"/>
    <x v="787"/>
    <x v="514"/>
    <x v="1"/>
    <x v="3"/>
    <s v="TRK75899752"/>
    <x v="8"/>
    <x v="0"/>
    <x v="2"/>
    <x v="788"/>
  </r>
  <r>
    <s v="ORD200790"/>
    <x v="154"/>
    <s v="C38928"/>
    <x v="5"/>
    <x v="3"/>
    <x v="788"/>
    <x v="515"/>
    <x v="3"/>
    <x v="4"/>
    <s v="TRK96636009"/>
    <x v="4"/>
    <x v="2"/>
    <x v="4"/>
    <x v="789"/>
  </r>
  <r>
    <s v="ORD200791"/>
    <x v="539"/>
    <s v="C49710"/>
    <x v="3"/>
    <x v="3"/>
    <x v="789"/>
    <x v="24"/>
    <x v="4"/>
    <x v="4"/>
    <s v="TRK92591237"/>
    <x v="2"/>
    <x v="2"/>
    <x v="2"/>
    <x v="790"/>
  </r>
  <r>
    <s v="ORD200792"/>
    <x v="379"/>
    <s v="C41709"/>
    <x v="6"/>
    <x v="1"/>
    <x v="790"/>
    <x v="516"/>
    <x v="0"/>
    <x v="2"/>
    <s v="TRK90995294"/>
    <x v="5"/>
    <x v="3"/>
    <x v="3"/>
    <x v="791"/>
  </r>
  <r>
    <s v="ORD200793"/>
    <x v="116"/>
    <s v="C91255"/>
    <x v="3"/>
    <x v="0"/>
    <x v="791"/>
    <x v="335"/>
    <x v="0"/>
    <x v="3"/>
    <s v="TRK69599961"/>
    <x v="2"/>
    <x v="2"/>
    <x v="1"/>
    <x v="792"/>
  </r>
  <r>
    <s v="ORD200794"/>
    <x v="338"/>
    <s v="C76653"/>
    <x v="4"/>
    <x v="3"/>
    <x v="792"/>
    <x v="517"/>
    <x v="1"/>
    <x v="3"/>
    <s v="TRK77052196"/>
    <x v="6"/>
    <x v="1"/>
    <x v="0"/>
    <x v="793"/>
  </r>
  <r>
    <s v="ORD200795"/>
    <x v="540"/>
    <s v="C95667"/>
    <x v="5"/>
    <x v="3"/>
    <x v="793"/>
    <x v="518"/>
    <x v="1"/>
    <x v="4"/>
    <s v="TRK41266666"/>
    <x v="0"/>
    <x v="0"/>
    <x v="0"/>
    <x v="794"/>
  </r>
  <r>
    <s v="ORD200796"/>
    <x v="541"/>
    <s v="C33313"/>
    <x v="1"/>
    <x v="4"/>
    <x v="794"/>
    <x v="189"/>
    <x v="3"/>
    <x v="2"/>
    <s v="TRK13349970"/>
    <x v="2"/>
    <x v="3"/>
    <x v="3"/>
    <x v="795"/>
  </r>
  <r>
    <s v="ORD200797"/>
    <x v="146"/>
    <s v="C36825"/>
    <x v="5"/>
    <x v="1"/>
    <x v="795"/>
    <x v="519"/>
    <x v="0"/>
    <x v="2"/>
    <s v="TRK72557318"/>
    <x v="7"/>
    <x v="2"/>
    <x v="3"/>
    <x v="796"/>
  </r>
  <r>
    <s v="ORD200798"/>
    <x v="542"/>
    <s v="C20861"/>
    <x v="1"/>
    <x v="0"/>
    <x v="796"/>
    <x v="262"/>
    <x v="0"/>
    <x v="2"/>
    <s v="TRK89372013"/>
    <x v="6"/>
    <x v="1"/>
    <x v="2"/>
    <x v="797"/>
  </r>
  <r>
    <s v="ORD200799"/>
    <x v="397"/>
    <s v="C26364"/>
    <x v="5"/>
    <x v="3"/>
    <x v="797"/>
    <x v="228"/>
    <x v="0"/>
    <x v="2"/>
    <s v="TRK78924436"/>
    <x v="4"/>
    <x v="1"/>
    <x v="2"/>
    <x v="798"/>
  </r>
  <r>
    <s v="ORD200800"/>
    <x v="210"/>
    <s v="C34686"/>
    <x v="2"/>
    <x v="2"/>
    <x v="798"/>
    <x v="520"/>
    <x v="1"/>
    <x v="2"/>
    <s v="TRK99468332"/>
    <x v="1"/>
    <x v="3"/>
    <x v="3"/>
    <x v="799"/>
  </r>
  <r>
    <s v="ORD200801"/>
    <x v="71"/>
    <s v="C97593"/>
    <x v="4"/>
    <x v="3"/>
    <x v="799"/>
    <x v="521"/>
    <x v="0"/>
    <x v="4"/>
    <s v="TRK58443593"/>
    <x v="2"/>
    <x v="1"/>
    <x v="3"/>
    <x v="800"/>
  </r>
  <r>
    <s v="ORD200802"/>
    <x v="11"/>
    <s v="C84331"/>
    <x v="3"/>
    <x v="0"/>
    <x v="800"/>
    <x v="522"/>
    <x v="3"/>
    <x v="1"/>
    <s v="TRK34440714"/>
    <x v="5"/>
    <x v="1"/>
    <x v="2"/>
    <x v="801"/>
  </r>
  <r>
    <s v="ORD200803"/>
    <x v="38"/>
    <s v="C88775"/>
    <x v="0"/>
    <x v="0"/>
    <x v="801"/>
    <x v="44"/>
    <x v="0"/>
    <x v="2"/>
    <s v="TRK45098068"/>
    <x v="3"/>
    <x v="0"/>
    <x v="1"/>
    <x v="802"/>
  </r>
  <r>
    <s v="ORD200804"/>
    <x v="543"/>
    <s v="C76362"/>
    <x v="3"/>
    <x v="4"/>
    <x v="802"/>
    <x v="523"/>
    <x v="1"/>
    <x v="3"/>
    <s v="TRK11868618"/>
    <x v="2"/>
    <x v="1"/>
    <x v="2"/>
    <x v="803"/>
  </r>
  <r>
    <s v="ORD200805"/>
    <x v="12"/>
    <s v="C59278"/>
    <x v="5"/>
    <x v="0"/>
    <x v="803"/>
    <x v="524"/>
    <x v="3"/>
    <x v="1"/>
    <s v="TRK14590037"/>
    <x v="8"/>
    <x v="0"/>
    <x v="2"/>
    <x v="804"/>
  </r>
  <r>
    <s v="ORD200806"/>
    <x v="544"/>
    <s v="C55819"/>
    <x v="3"/>
    <x v="0"/>
    <x v="804"/>
    <x v="240"/>
    <x v="1"/>
    <x v="4"/>
    <s v="TRK13775054"/>
    <x v="6"/>
    <x v="3"/>
    <x v="0"/>
    <x v="805"/>
  </r>
  <r>
    <s v="ORD200807"/>
    <x v="337"/>
    <s v="C82344"/>
    <x v="0"/>
    <x v="4"/>
    <x v="805"/>
    <x v="525"/>
    <x v="1"/>
    <x v="3"/>
    <s v="TRK70957219"/>
    <x v="3"/>
    <x v="0"/>
    <x v="4"/>
    <x v="806"/>
  </r>
  <r>
    <s v="ORD200808"/>
    <x v="545"/>
    <s v="C65565"/>
    <x v="6"/>
    <x v="4"/>
    <x v="806"/>
    <x v="526"/>
    <x v="2"/>
    <x v="0"/>
    <s v="TRK80383756"/>
    <x v="1"/>
    <x v="2"/>
    <x v="4"/>
    <x v="807"/>
  </r>
  <r>
    <s v="ORD200809"/>
    <x v="398"/>
    <s v="C80416"/>
    <x v="6"/>
    <x v="0"/>
    <x v="807"/>
    <x v="60"/>
    <x v="0"/>
    <x v="0"/>
    <s v="TRK54385892"/>
    <x v="8"/>
    <x v="0"/>
    <x v="0"/>
    <x v="808"/>
  </r>
  <r>
    <s v="ORD200810"/>
    <x v="546"/>
    <s v="C23637"/>
    <x v="2"/>
    <x v="2"/>
    <x v="808"/>
    <x v="527"/>
    <x v="2"/>
    <x v="1"/>
    <s v="TRK16749863"/>
    <x v="3"/>
    <x v="2"/>
    <x v="1"/>
    <x v="809"/>
  </r>
  <r>
    <s v="ORD200811"/>
    <x v="212"/>
    <s v="C24769"/>
    <x v="5"/>
    <x v="1"/>
    <x v="809"/>
    <x v="497"/>
    <x v="3"/>
    <x v="0"/>
    <s v="TRK44538305"/>
    <x v="0"/>
    <x v="0"/>
    <x v="2"/>
    <x v="810"/>
  </r>
  <r>
    <s v="ORD200812"/>
    <x v="547"/>
    <s v="C81547"/>
    <x v="1"/>
    <x v="1"/>
    <x v="810"/>
    <x v="228"/>
    <x v="2"/>
    <x v="1"/>
    <s v="TRK88437123"/>
    <x v="5"/>
    <x v="1"/>
    <x v="4"/>
    <x v="811"/>
  </r>
  <r>
    <s v="ORD200813"/>
    <x v="175"/>
    <s v="C12813"/>
    <x v="5"/>
    <x v="0"/>
    <x v="811"/>
    <x v="239"/>
    <x v="0"/>
    <x v="1"/>
    <s v="TRK36131660"/>
    <x v="2"/>
    <x v="1"/>
    <x v="2"/>
    <x v="812"/>
  </r>
  <r>
    <s v="ORD200814"/>
    <x v="218"/>
    <s v="C50732"/>
    <x v="3"/>
    <x v="3"/>
    <x v="812"/>
    <x v="528"/>
    <x v="0"/>
    <x v="4"/>
    <s v="TRK21082461"/>
    <x v="4"/>
    <x v="3"/>
    <x v="0"/>
    <x v="813"/>
  </r>
  <r>
    <s v="ORD200815"/>
    <x v="548"/>
    <s v="C41320"/>
    <x v="4"/>
    <x v="4"/>
    <x v="813"/>
    <x v="529"/>
    <x v="3"/>
    <x v="1"/>
    <s v="TRK77539180"/>
    <x v="2"/>
    <x v="3"/>
    <x v="0"/>
    <x v="814"/>
  </r>
  <r>
    <s v="ORD200816"/>
    <x v="444"/>
    <s v="C55286"/>
    <x v="2"/>
    <x v="0"/>
    <x v="814"/>
    <x v="191"/>
    <x v="2"/>
    <x v="4"/>
    <s v="TRK39058734"/>
    <x v="2"/>
    <x v="3"/>
    <x v="1"/>
    <x v="815"/>
  </r>
  <r>
    <s v="ORD200817"/>
    <x v="469"/>
    <s v="C87994"/>
    <x v="3"/>
    <x v="3"/>
    <x v="815"/>
    <x v="530"/>
    <x v="2"/>
    <x v="3"/>
    <s v="TRK98883971"/>
    <x v="0"/>
    <x v="3"/>
    <x v="2"/>
    <x v="816"/>
  </r>
  <r>
    <s v="ORD200818"/>
    <x v="521"/>
    <s v="C25580"/>
    <x v="1"/>
    <x v="3"/>
    <x v="816"/>
    <x v="458"/>
    <x v="2"/>
    <x v="1"/>
    <s v="TRK58781638"/>
    <x v="6"/>
    <x v="3"/>
    <x v="1"/>
    <x v="817"/>
  </r>
  <r>
    <s v="ORD200819"/>
    <x v="335"/>
    <s v="C66196"/>
    <x v="1"/>
    <x v="1"/>
    <x v="817"/>
    <x v="531"/>
    <x v="0"/>
    <x v="1"/>
    <s v="TRK38104650"/>
    <x v="0"/>
    <x v="0"/>
    <x v="4"/>
    <x v="818"/>
  </r>
  <r>
    <s v="ORD200820"/>
    <x v="156"/>
    <s v="C35377"/>
    <x v="1"/>
    <x v="0"/>
    <x v="818"/>
    <x v="296"/>
    <x v="4"/>
    <x v="2"/>
    <s v="TRK17342157"/>
    <x v="5"/>
    <x v="1"/>
    <x v="2"/>
    <x v="819"/>
  </r>
  <r>
    <s v="ORD200821"/>
    <x v="549"/>
    <s v="C40771"/>
    <x v="5"/>
    <x v="3"/>
    <x v="819"/>
    <x v="288"/>
    <x v="2"/>
    <x v="3"/>
    <s v="TRK56310345"/>
    <x v="3"/>
    <x v="0"/>
    <x v="3"/>
    <x v="820"/>
  </r>
  <r>
    <s v="ORD200822"/>
    <x v="175"/>
    <s v="C20624"/>
    <x v="1"/>
    <x v="2"/>
    <x v="820"/>
    <x v="66"/>
    <x v="3"/>
    <x v="2"/>
    <s v="TRK45123395"/>
    <x v="9"/>
    <x v="0"/>
    <x v="4"/>
    <x v="821"/>
  </r>
  <r>
    <s v="ORD200823"/>
    <x v="550"/>
    <s v="C27070"/>
    <x v="5"/>
    <x v="3"/>
    <x v="821"/>
    <x v="532"/>
    <x v="2"/>
    <x v="0"/>
    <s v="TRK83842481"/>
    <x v="2"/>
    <x v="3"/>
    <x v="0"/>
    <x v="822"/>
  </r>
  <r>
    <s v="ORD200824"/>
    <x v="193"/>
    <s v="C18826"/>
    <x v="0"/>
    <x v="4"/>
    <x v="822"/>
    <x v="533"/>
    <x v="2"/>
    <x v="2"/>
    <s v="TRK12530495"/>
    <x v="1"/>
    <x v="1"/>
    <x v="3"/>
    <x v="823"/>
  </r>
  <r>
    <s v="ORD200825"/>
    <x v="18"/>
    <s v="C23899"/>
    <x v="6"/>
    <x v="0"/>
    <x v="823"/>
    <x v="534"/>
    <x v="1"/>
    <x v="2"/>
    <s v="TRK88914760"/>
    <x v="0"/>
    <x v="1"/>
    <x v="0"/>
    <x v="824"/>
  </r>
  <r>
    <s v="ORD200826"/>
    <x v="177"/>
    <s v="C43249"/>
    <x v="4"/>
    <x v="4"/>
    <x v="824"/>
    <x v="160"/>
    <x v="1"/>
    <x v="2"/>
    <s v="TRK32469820"/>
    <x v="2"/>
    <x v="3"/>
    <x v="2"/>
    <x v="825"/>
  </r>
  <r>
    <s v="ORD200827"/>
    <x v="551"/>
    <s v="C95856"/>
    <x v="2"/>
    <x v="1"/>
    <x v="825"/>
    <x v="187"/>
    <x v="4"/>
    <x v="3"/>
    <s v="TRK58829625"/>
    <x v="3"/>
    <x v="3"/>
    <x v="0"/>
    <x v="826"/>
  </r>
  <r>
    <s v="ORD200828"/>
    <x v="25"/>
    <s v="C86266"/>
    <x v="3"/>
    <x v="3"/>
    <x v="826"/>
    <x v="535"/>
    <x v="4"/>
    <x v="0"/>
    <s v="TRK64576020"/>
    <x v="3"/>
    <x v="1"/>
    <x v="0"/>
    <x v="827"/>
  </r>
  <r>
    <s v="ORD200829"/>
    <x v="483"/>
    <s v="C39551"/>
    <x v="0"/>
    <x v="2"/>
    <x v="827"/>
    <x v="536"/>
    <x v="0"/>
    <x v="3"/>
    <s v="TRK68358007"/>
    <x v="5"/>
    <x v="3"/>
    <x v="0"/>
    <x v="828"/>
  </r>
  <r>
    <s v="ORD200830"/>
    <x v="218"/>
    <s v="C90310"/>
    <x v="2"/>
    <x v="3"/>
    <x v="828"/>
    <x v="537"/>
    <x v="4"/>
    <x v="3"/>
    <s v="TRK70028457"/>
    <x v="3"/>
    <x v="0"/>
    <x v="2"/>
    <x v="829"/>
  </r>
  <r>
    <s v="ORD200831"/>
    <x v="552"/>
    <s v="C20124"/>
    <x v="4"/>
    <x v="1"/>
    <x v="829"/>
    <x v="441"/>
    <x v="1"/>
    <x v="4"/>
    <s v="TRK61346824"/>
    <x v="3"/>
    <x v="2"/>
    <x v="4"/>
    <x v="830"/>
  </r>
  <r>
    <s v="ORD200832"/>
    <x v="553"/>
    <s v="C63372"/>
    <x v="3"/>
    <x v="0"/>
    <x v="830"/>
    <x v="13"/>
    <x v="1"/>
    <x v="4"/>
    <s v="TRK14661811"/>
    <x v="8"/>
    <x v="0"/>
    <x v="1"/>
    <x v="831"/>
  </r>
  <r>
    <s v="ORD200833"/>
    <x v="387"/>
    <s v="C90595"/>
    <x v="1"/>
    <x v="0"/>
    <x v="831"/>
    <x v="538"/>
    <x v="2"/>
    <x v="0"/>
    <s v="TRK96573803"/>
    <x v="3"/>
    <x v="3"/>
    <x v="1"/>
    <x v="832"/>
  </r>
  <r>
    <s v="ORD200834"/>
    <x v="166"/>
    <s v="C98483"/>
    <x v="4"/>
    <x v="0"/>
    <x v="832"/>
    <x v="206"/>
    <x v="4"/>
    <x v="2"/>
    <s v="TRK22084320"/>
    <x v="8"/>
    <x v="2"/>
    <x v="0"/>
    <x v="833"/>
  </r>
  <r>
    <s v="ORD200835"/>
    <x v="290"/>
    <s v="C16429"/>
    <x v="6"/>
    <x v="2"/>
    <x v="833"/>
    <x v="539"/>
    <x v="0"/>
    <x v="0"/>
    <s v="TRK73888013"/>
    <x v="5"/>
    <x v="1"/>
    <x v="4"/>
    <x v="834"/>
  </r>
  <r>
    <s v="ORD200836"/>
    <x v="488"/>
    <s v="C31810"/>
    <x v="1"/>
    <x v="2"/>
    <x v="834"/>
    <x v="450"/>
    <x v="2"/>
    <x v="1"/>
    <s v="TRK58725886"/>
    <x v="7"/>
    <x v="1"/>
    <x v="4"/>
    <x v="835"/>
  </r>
  <r>
    <s v="ORD200837"/>
    <x v="554"/>
    <s v="C88029"/>
    <x v="3"/>
    <x v="0"/>
    <x v="835"/>
    <x v="429"/>
    <x v="1"/>
    <x v="3"/>
    <s v="TRK59701278"/>
    <x v="3"/>
    <x v="2"/>
    <x v="2"/>
    <x v="836"/>
  </r>
  <r>
    <s v="ORD200838"/>
    <x v="166"/>
    <s v="C57798"/>
    <x v="6"/>
    <x v="3"/>
    <x v="836"/>
    <x v="65"/>
    <x v="1"/>
    <x v="4"/>
    <s v="TRK68797566"/>
    <x v="2"/>
    <x v="2"/>
    <x v="3"/>
    <x v="837"/>
  </r>
  <r>
    <s v="ORD200839"/>
    <x v="318"/>
    <s v="C82858"/>
    <x v="3"/>
    <x v="4"/>
    <x v="837"/>
    <x v="492"/>
    <x v="1"/>
    <x v="1"/>
    <s v="TRK90618490"/>
    <x v="3"/>
    <x v="2"/>
    <x v="4"/>
    <x v="838"/>
  </r>
  <r>
    <s v="ORD200840"/>
    <x v="555"/>
    <s v="C60699"/>
    <x v="3"/>
    <x v="4"/>
    <x v="838"/>
    <x v="364"/>
    <x v="2"/>
    <x v="3"/>
    <s v="TRK88660574"/>
    <x v="0"/>
    <x v="1"/>
    <x v="1"/>
    <x v="839"/>
  </r>
  <r>
    <s v="ORD200841"/>
    <x v="556"/>
    <s v="C94658"/>
    <x v="4"/>
    <x v="1"/>
    <x v="839"/>
    <x v="540"/>
    <x v="2"/>
    <x v="3"/>
    <s v="TRK51732528"/>
    <x v="3"/>
    <x v="2"/>
    <x v="3"/>
    <x v="840"/>
  </r>
  <r>
    <s v="ORD200842"/>
    <x v="106"/>
    <s v="C78305"/>
    <x v="5"/>
    <x v="4"/>
    <x v="840"/>
    <x v="467"/>
    <x v="1"/>
    <x v="4"/>
    <s v="TRK88312618"/>
    <x v="0"/>
    <x v="3"/>
    <x v="1"/>
    <x v="841"/>
  </r>
  <r>
    <s v="ORD200843"/>
    <x v="557"/>
    <s v="C43538"/>
    <x v="6"/>
    <x v="4"/>
    <x v="841"/>
    <x v="541"/>
    <x v="3"/>
    <x v="1"/>
    <s v="TRK20961563"/>
    <x v="2"/>
    <x v="1"/>
    <x v="0"/>
    <x v="842"/>
  </r>
  <r>
    <s v="ORD200844"/>
    <x v="558"/>
    <s v="C47486"/>
    <x v="3"/>
    <x v="2"/>
    <x v="842"/>
    <x v="542"/>
    <x v="1"/>
    <x v="2"/>
    <s v="TRK75984759"/>
    <x v="3"/>
    <x v="1"/>
    <x v="3"/>
    <x v="843"/>
  </r>
  <r>
    <s v="ORD200845"/>
    <x v="345"/>
    <s v="C24212"/>
    <x v="1"/>
    <x v="4"/>
    <x v="843"/>
    <x v="543"/>
    <x v="3"/>
    <x v="3"/>
    <s v="TRK68894675"/>
    <x v="3"/>
    <x v="1"/>
    <x v="4"/>
    <x v="844"/>
  </r>
  <r>
    <s v="ORD200846"/>
    <x v="502"/>
    <s v="C24765"/>
    <x v="6"/>
    <x v="1"/>
    <x v="844"/>
    <x v="544"/>
    <x v="0"/>
    <x v="1"/>
    <s v="TRK43977698"/>
    <x v="4"/>
    <x v="2"/>
    <x v="1"/>
    <x v="845"/>
  </r>
  <r>
    <s v="ORD200847"/>
    <x v="249"/>
    <s v="C48176"/>
    <x v="4"/>
    <x v="3"/>
    <x v="845"/>
    <x v="247"/>
    <x v="1"/>
    <x v="0"/>
    <s v="TRK90560300"/>
    <x v="2"/>
    <x v="1"/>
    <x v="2"/>
    <x v="846"/>
  </r>
  <r>
    <s v="ORD200848"/>
    <x v="107"/>
    <s v="C54675"/>
    <x v="3"/>
    <x v="1"/>
    <x v="846"/>
    <x v="56"/>
    <x v="1"/>
    <x v="0"/>
    <s v="TRK18049633"/>
    <x v="3"/>
    <x v="2"/>
    <x v="1"/>
    <x v="847"/>
  </r>
  <r>
    <s v="ORD200849"/>
    <x v="559"/>
    <s v="C16675"/>
    <x v="4"/>
    <x v="3"/>
    <x v="847"/>
    <x v="533"/>
    <x v="0"/>
    <x v="1"/>
    <s v="TRK12756945"/>
    <x v="0"/>
    <x v="3"/>
    <x v="1"/>
    <x v="848"/>
  </r>
  <r>
    <s v="ORD200850"/>
    <x v="560"/>
    <s v="C38557"/>
    <x v="0"/>
    <x v="4"/>
    <x v="848"/>
    <x v="483"/>
    <x v="0"/>
    <x v="1"/>
    <s v="TRK14832238"/>
    <x v="4"/>
    <x v="1"/>
    <x v="0"/>
    <x v="849"/>
  </r>
  <r>
    <s v="ORD200851"/>
    <x v="427"/>
    <s v="C80183"/>
    <x v="5"/>
    <x v="2"/>
    <x v="849"/>
    <x v="72"/>
    <x v="1"/>
    <x v="1"/>
    <s v="TRK20814598"/>
    <x v="3"/>
    <x v="0"/>
    <x v="2"/>
    <x v="850"/>
  </r>
  <r>
    <s v="ORD200852"/>
    <x v="101"/>
    <s v="C39530"/>
    <x v="6"/>
    <x v="4"/>
    <x v="850"/>
    <x v="545"/>
    <x v="3"/>
    <x v="4"/>
    <s v="TRK69000497"/>
    <x v="5"/>
    <x v="0"/>
    <x v="4"/>
    <x v="851"/>
  </r>
  <r>
    <s v="ORD200853"/>
    <x v="504"/>
    <s v="C10002"/>
    <x v="4"/>
    <x v="4"/>
    <x v="851"/>
    <x v="253"/>
    <x v="4"/>
    <x v="2"/>
    <s v="TRK94641152"/>
    <x v="4"/>
    <x v="0"/>
    <x v="3"/>
    <x v="852"/>
  </r>
  <r>
    <s v="ORD200854"/>
    <x v="399"/>
    <s v="C56938"/>
    <x v="5"/>
    <x v="4"/>
    <x v="852"/>
    <x v="349"/>
    <x v="2"/>
    <x v="3"/>
    <s v="TRK67735987"/>
    <x v="0"/>
    <x v="3"/>
    <x v="1"/>
    <x v="853"/>
  </r>
  <r>
    <s v="ORD200855"/>
    <x v="551"/>
    <s v="C41331"/>
    <x v="0"/>
    <x v="0"/>
    <x v="853"/>
    <x v="214"/>
    <x v="2"/>
    <x v="0"/>
    <s v="TRK94198179"/>
    <x v="8"/>
    <x v="1"/>
    <x v="2"/>
    <x v="854"/>
  </r>
  <r>
    <s v="ORD200856"/>
    <x v="561"/>
    <s v="C94698"/>
    <x v="1"/>
    <x v="2"/>
    <x v="854"/>
    <x v="42"/>
    <x v="0"/>
    <x v="0"/>
    <s v="TRK95768773"/>
    <x v="3"/>
    <x v="2"/>
    <x v="3"/>
    <x v="855"/>
  </r>
  <r>
    <s v="ORD200857"/>
    <x v="416"/>
    <s v="C56506"/>
    <x v="1"/>
    <x v="4"/>
    <x v="855"/>
    <x v="184"/>
    <x v="1"/>
    <x v="3"/>
    <s v="TRK86808324"/>
    <x v="4"/>
    <x v="2"/>
    <x v="0"/>
    <x v="856"/>
  </r>
  <r>
    <s v="ORD200858"/>
    <x v="38"/>
    <s v="C22167"/>
    <x v="2"/>
    <x v="0"/>
    <x v="856"/>
    <x v="18"/>
    <x v="1"/>
    <x v="4"/>
    <s v="TRK70269748"/>
    <x v="6"/>
    <x v="2"/>
    <x v="3"/>
    <x v="857"/>
  </r>
  <r>
    <s v="ORD200859"/>
    <x v="562"/>
    <s v="C11127"/>
    <x v="3"/>
    <x v="0"/>
    <x v="857"/>
    <x v="432"/>
    <x v="2"/>
    <x v="2"/>
    <s v="TRK73285507"/>
    <x v="3"/>
    <x v="0"/>
    <x v="1"/>
    <x v="858"/>
  </r>
  <r>
    <s v="ORD200860"/>
    <x v="514"/>
    <s v="C69542"/>
    <x v="4"/>
    <x v="2"/>
    <x v="858"/>
    <x v="289"/>
    <x v="4"/>
    <x v="3"/>
    <s v="TRK20746505"/>
    <x v="9"/>
    <x v="0"/>
    <x v="4"/>
    <x v="859"/>
  </r>
  <r>
    <s v="ORD200861"/>
    <x v="111"/>
    <s v="C93276"/>
    <x v="6"/>
    <x v="0"/>
    <x v="859"/>
    <x v="546"/>
    <x v="3"/>
    <x v="0"/>
    <s v="TRK44165913"/>
    <x v="8"/>
    <x v="1"/>
    <x v="4"/>
    <x v="860"/>
  </r>
  <r>
    <s v="ORD200862"/>
    <x v="278"/>
    <s v="C37969"/>
    <x v="6"/>
    <x v="4"/>
    <x v="860"/>
    <x v="472"/>
    <x v="2"/>
    <x v="0"/>
    <s v="TRK69852386"/>
    <x v="3"/>
    <x v="0"/>
    <x v="1"/>
    <x v="861"/>
  </r>
  <r>
    <s v="ORD200863"/>
    <x v="199"/>
    <s v="C98276"/>
    <x v="1"/>
    <x v="2"/>
    <x v="861"/>
    <x v="215"/>
    <x v="2"/>
    <x v="4"/>
    <s v="TRK74207282"/>
    <x v="3"/>
    <x v="0"/>
    <x v="1"/>
    <x v="862"/>
  </r>
  <r>
    <s v="ORD200864"/>
    <x v="71"/>
    <s v="C14240"/>
    <x v="6"/>
    <x v="2"/>
    <x v="862"/>
    <x v="547"/>
    <x v="2"/>
    <x v="3"/>
    <s v="TRK58095246"/>
    <x v="4"/>
    <x v="0"/>
    <x v="3"/>
    <x v="863"/>
  </r>
  <r>
    <s v="ORD200865"/>
    <x v="563"/>
    <s v="C72241"/>
    <x v="0"/>
    <x v="3"/>
    <x v="863"/>
    <x v="548"/>
    <x v="4"/>
    <x v="4"/>
    <s v="TRK76270481"/>
    <x v="2"/>
    <x v="0"/>
    <x v="4"/>
    <x v="864"/>
  </r>
  <r>
    <s v="ORD200866"/>
    <x v="503"/>
    <s v="C39664"/>
    <x v="6"/>
    <x v="0"/>
    <x v="864"/>
    <x v="549"/>
    <x v="0"/>
    <x v="1"/>
    <s v="TRK39917741"/>
    <x v="8"/>
    <x v="3"/>
    <x v="2"/>
    <x v="865"/>
  </r>
  <r>
    <s v="ORD200867"/>
    <x v="564"/>
    <s v="C53252"/>
    <x v="4"/>
    <x v="3"/>
    <x v="865"/>
    <x v="550"/>
    <x v="4"/>
    <x v="3"/>
    <s v="TRK65831261"/>
    <x v="4"/>
    <x v="1"/>
    <x v="3"/>
    <x v="866"/>
  </r>
  <r>
    <s v="ORD200868"/>
    <x v="310"/>
    <s v="C70452"/>
    <x v="0"/>
    <x v="3"/>
    <x v="866"/>
    <x v="551"/>
    <x v="0"/>
    <x v="3"/>
    <s v="TRK42985882"/>
    <x v="0"/>
    <x v="2"/>
    <x v="3"/>
    <x v="867"/>
  </r>
  <r>
    <s v="ORD200869"/>
    <x v="537"/>
    <s v="C29905"/>
    <x v="6"/>
    <x v="1"/>
    <x v="867"/>
    <x v="156"/>
    <x v="1"/>
    <x v="3"/>
    <s v="TRK16788127"/>
    <x v="3"/>
    <x v="3"/>
    <x v="4"/>
    <x v="868"/>
  </r>
  <r>
    <s v="ORD200870"/>
    <x v="565"/>
    <s v="C78725"/>
    <x v="1"/>
    <x v="3"/>
    <x v="868"/>
    <x v="552"/>
    <x v="0"/>
    <x v="3"/>
    <s v="TRK72001139"/>
    <x v="4"/>
    <x v="1"/>
    <x v="4"/>
    <x v="869"/>
  </r>
  <r>
    <s v="ORD200871"/>
    <x v="149"/>
    <s v="C93768"/>
    <x v="2"/>
    <x v="4"/>
    <x v="869"/>
    <x v="553"/>
    <x v="0"/>
    <x v="4"/>
    <s v="TRK22024707"/>
    <x v="2"/>
    <x v="1"/>
    <x v="2"/>
    <x v="870"/>
  </r>
  <r>
    <s v="ORD200872"/>
    <x v="566"/>
    <s v="C59169"/>
    <x v="3"/>
    <x v="3"/>
    <x v="120"/>
    <x v="180"/>
    <x v="4"/>
    <x v="0"/>
    <s v="TRK90883858"/>
    <x v="0"/>
    <x v="2"/>
    <x v="2"/>
    <x v="120"/>
  </r>
  <r>
    <s v="ORD200873"/>
    <x v="258"/>
    <s v="C53488"/>
    <x v="6"/>
    <x v="4"/>
    <x v="503"/>
    <x v="554"/>
    <x v="4"/>
    <x v="3"/>
    <s v="TRK27365050"/>
    <x v="1"/>
    <x v="0"/>
    <x v="3"/>
    <x v="502"/>
  </r>
  <r>
    <s v="ORD200874"/>
    <x v="150"/>
    <s v="C92180"/>
    <x v="3"/>
    <x v="1"/>
    <x v="870"/>
    <x v="476"/>
    <x v="4"/>
    <x v="3"/>
    <s v="TRK93315929"/>
    <x v="0"/>
    <x v="1"/>
    <x v="3"/>
    <x v="871"/>
  </r>
  <r>
    <s v="ORD200875"/>
    <x v="567"/>
    <s v="C25918"/>
    <x v="5"/>
    <x v="0"/>
    <x v="871"/>
    <x v="86"/>
    <x v="2"/>
    <x v="3"/>
    <s v="TRK66473392"/>
    <x v="5"/>
    <x v="1"/>
    <x v="1"/>
    <x v="872"/>
  </r>
  <r>
    <s v="ORD200876"/>
    <x v="410"/>
    <s v="C90363"/>
    <x v="3"/>
    <x v="0"/>
    <x v="872"/>
    <x v="490"/>
    <x v="3"/>
    <x v="4"/>
    <s v="TRK21534173"/>
    <x v="5"/>
    <x v="0"/>
    <x v="4"/>
    <x v="873"/>
  </r>
  <r>
    <s v="ORD200877"/>
    <x v="568"/>
    <s v="C43867"/>
    <x v="2"/>
    <x v="2"/>
    <x v="873"/>
    <x v="437"/>
    <x v="0"/>
    <x v="4"/>
    <s v="TRK97319127"/>
    <x v="1"/>
    <x v="1"/>
    <x v="2"/>
    <x v="874"/>
  </r>
  <r>
    <s v="ORD200878"/>
    <x v="569"/>
    <s v="C73873"/>
    <x v="6"/>
    <x v="1"/>
    <x v="874"/>
    <x v="555"/>
    <x v="1"/>
    <x v="1"/>
    <s v="TRK56423132"/>
    <x v="3"/>
    <x v="0"/>
    <x v="4"/>
    <x v="875"/>
  </r>
  <r>
    <s v="ORD200879"/>
    <x v="428"/>
    <s v="C56622"/>
    <x v="1"/>
    <x v="1"/>
    <x v="875"/>
    <x v="407"/>
    <x v="3"/>
    <x v="0"/>
    <s v="TRK86373987"/>
    <x v="1"/>
    <x v="2"/>
    <x v="0"/>
    <x v="876"/>
  </r>
  <r>
    <s v="ORD200880"/>
    <x v="495"/>
    <s v="C85074"/>
    <x v="5"/>
    <x v="3"/>
    <x v="876"/>
    <x v="210"/>
    <x v="1"/>
    <x v="0"/>
    <s v="TRK63133878"/>
    <x v="2"/>
    <x v="0"/>
    <x v="3"/>
    <x v="877"/>
  </r>
  <r>
    <s v="ORD200881"/>
    <x v="570"/>
    <s v="C59579"/>
    <x v="2"/>
    <x v="1"/>
    <x v="877"/>
    <x v="556"/>
    <x v="2"/>
    <x v="4"/>
    <s v="TRK48000034"/>
    <x v="5"/>
    <x v="2"/>
    <x v="0"/>
    <x v="878"/>
  </r>
  <r>
    <s v="ORD200882"/>
    <x v="164"/>
    <s v="C43335"/>
    <x v="1"/>
    <x v="1"/>
    <x v="878"/>
    <x v="91"/>
    <x v="4"/>
    <x v="3"/>
    <s v="TRK91848650"/>
    <x v="5"/>
    <x v="1"/>
    <x v="1"/>
    <x v="879"/>
  </r>
  <r>
    <s v="ORD200883"/>
    <x v="557"/>
    <s v="C43595"/>
    <x v="4"/>
    <x v="0"/>
    <x v="879"/>
    <x v="557"/>
    <x v="1"/>
    <x v="3"/>
    <s v="TRK25317348"/>
    <x v="6"/>
    <x v="1"/>
    <x v="3"/>
    <x v="880"/>
  </r>
  <r>
    <s v="ORD200884"/>
    <x v="571"/>
    <s v="C71471"/>
    <x v="3"/>
    <x v="2"/>
    <x v="880"/>
    <x v="558"/>
    <x v="3"/>
    <x v="0"/>
    <s v="TRK52137079"/>
    <x v="4"/>
    <x v="2"/>
    <x v="0"/>
    <x v="881"/>
  </r>
  <r>
    <s v="ORD200885"/>
    <x v="158"/>
    <s v="C61090"/>
    <x v="5"/>
    <x v="3"/>
    <x v="881"/>
    <x v="559"/>
    <x v="2"/>
    <x v="0"/>
    <s v="TRK36388962"/>
    <x v="0"/>
    <x v="1"/>
    <x v="4"/>
    <x v="882"/>
  </r>
  <r>
    <s v="ORD200886"/>
    <x v="385"/>
    <s v="C29620"/>
    <x v="1"/>
    <x v="2"/>
    <x v="882"/>
    <x v="560"/>
    <x v="2"/>
    <x v="2"/>
    <s v="TRK22046456"/>
    <x v="9"/>
    <x v="2"/>
    <x v="4"/>
    <x v="883"/>
  </r>
  <r>
    <s v="ORD200887"/>
    <x v="36"/>
    <s v="C67932"/>
    <x v="3"/>
    <x v="4"/>
    <x v="883"/>
    <x v="561"/>
    <x v="0"/>
    <x v="3"/>
    <s v="TRK88547534"/>
    <x v="0"/>
    <x v="2"/>
    <x v="4"/>
    <x v="884"/>
  </r>
  <r>
    <s v="ORD200888"/>
    <x v="572"/>
    <s v="C14427"/>
    <x v="5"/>
    <x v="1"/>
    <x v="884"/>
    <x v="562"/>
    <x v="2"/>
    <x v="4"/>
    <s v="TRK58024529"/>
    <x v="1"/>
    <x v="2"/>
    <x v="0"/>
    <x v="885"/>
  </r>
  <r>
    <s v="ORD200889"/>
    <x v="245"/>
    <s v="C36725"/>
    <x v="0"/>
    <x v="0"/>
    <x v="885"/>
    <x v="563"/>
    <x v="2"/>
    <x v="1"/>
    <s v="TRK16808790"/>
    <x v="2"/>
    <x v="3"/>
    <x v="2"/>
    <x v="886"/>
  </r>
  <r>
    <s v="ORD200890"/>
    <x v="178"/>
    <s v="C51921"/>
    <x v="5"/>
    <x v="4"/>
    <x v="886"/>
    <x v="371"/>
    <x v="0"/>
    <x v="4"/>
    <s v="TRK85741716"/>
    <x v="3"/>
    <x v="2"/>
    <x v="4"/>
    <x v="887"/>
  </r>
  <r>
    <s v="ORD200891"/>
    <x v="433"/>
    <s v="C36534"/>
    <x v="0"/>
    <x v="4"/>
    <x v="887"/>
    <x v="564"/>
    <x v="4"/>
    <x v="2"/>
    <s v="TRK38952138"/>
    <x v="0"/>
    <x v="0"/>
    <x v="1"/>
    <x v="888"/>
  </r>
  <r>
    <s v="ORD200892"/>
    <x v="573"/>
    <s v="C72043"/>
    <x v="6"/>
    <x v="2"/>
    <x v="888"/>
    <x v="565"/>
    <x v="4"/>
    <x v="0"/>
    <s v="TRK40896408"/>
    <x v="7"/>
    <x v="1"/>
    <x v="1"/>
    <x v="889"/>
  </r>
  <r>
    <s v="ORD200893"/>
    <x v="574"/>
    <s v="C99533"/>
    <x v="0"/>
    <x v="2"/>
    <x v="889"/>
    <x v="386"/>
    <x v="4"/>
    <x v="4"/>
    <s v="TRK55701253"/>
    <x v="4"/>
    <x v="1"/>
    <x v="1"/>
    <x v="890"/>
  </r>
  <r>
    <s v="ORD200894"/>
    <x v="575"/>
    <s v="C90852"/>
    <x v="2"/>
    <x v="4"/>
    <x v="890"/>
    <x v="401"/>
    <x v="1"/>
    <x v="1"/>
    <s v="TRK37551831"/>
    <x v="2"/>
    <x v="3"/>
    <x v="0"/>
    <x v="891"/>
  </r>
  <r>
    <s v="ORD200895"/>
    <x v="576"/>
    <s v="C81882"/>
    <x v="3"/>
    <x v="4"/>
    <x v="891"/>
    <x v="566"/>
    <x v="0"/>
    <x v="4"/>
    <s v="TRK62371264"/>
    <x v="5"/>
    <x v="3"/>
    <x v="3"/>
    <x v="892"/>
  </r>
  <r>
    <s v="ORD200896"/>
    <x v="266"/>
    <s v="C85466"/>
    <x v="6"/>
    <x v="4"/>
    <x v="892"/>
    <x v="9"/>
    <x v="3"/>
    <x v="0"/>
    <s v="TRK66764177"/>
    <x v="1"/>
    <x v="1"/>
    <x v="4"/>
    <x v="893"/>
  </r>
  <r>
    <s v="ORD200897"/>
    <x v="459"/>
    <s v="C87995"/>
    <x v="5"/>
    <x v="3"/>
    <x v="893"/>
    <x v="179"/>
    <x v="3"/>
    <x v="3"/>
    <s v="TRK38730545"/>
    <x v="3"/>
    <x v="0"/>
    <x v="0"/>
    <x v="894"/>
  </r>
  <r>
    <s v="ORD200898"/>
    <x v="376"/>
    <s v="C44619"/>
    <x v="0"/>
    <x v="4"/>
    <x v="894"/>
    <x v="540"/>
    <x v="4"/>
    <x v="0"/>
    <s v="TRK66662528"/>
    <x v="5"/>
    <x v="2"/>
    <x v="1"/>
    <x v="895"/>
  </r>
  <r>
    <s v="ORD200899"/>
    <x v="577"/>
    <s v="C99904"/>
    <x v="4"/>
    <x v="1"/>
    <x v="895"/>
    <x v="64"/>
    <x v="1"/>
    <x v="4"/>
    <s v="TRK83843411"/>
    <x v="1"/>
    <x v="0"/>
    <x v="0"/>
    <x v="896"/>
  </r>
  <r>
    <s v="ORD200900"/>
    <x v="492"/>
    <s v="C52342"/>
    <x v="5"/>
    <x v="0"/>
    <x v="896"/>
    <x v="392"/>
    <x v="0"/>
    <x v="4"/>
    <s v="TRK67342586"/>
    <x v="6"/>
    <x v="2"/>
    <x v="0"/>
    <x v="897"/>
  </r>
  <r>
    <s v="ORD200901"/>
    <x v="578"/>
    <s v="C44277"/>
    <x v="2"/>
    <x v="2"/>
    <x v="897"/>
    <x v="89"/>
    <x v="0"/>
    <x v="2"/>
    <s v="TRK79321479"/>
    <x v="4"/>
    <x v="3"/>
    <x v="1"/>
    <x v="898"/>
  </r>
  <r>
    <s v="ORD200902"/>
    <x v="579"/>
    <s v="C61162"/>
    <x v="0"/>
    <x v="3"/>
    <x v="898"/>
    <x v="59"/>
    <x v="0"/>
    <x v="1"/>
    <s v="TRK76712124"/>
    <x v="0"/>
    <x v="2"/>
    <x v="3"/>
    <x v="899"/>
  </r>
  <r>
    <s v="ORD200903"/>
    <x v="209"/>
    <s v="C80868"/>
    <x v="0"/>
    <x v="4"/>
    <x v="899"/>
    <x v="522"/>
    <x v="2"/>
    <x v="4"/>
    <s v="TRK56186636"/>
    <x v="0"/>
    <x v="2"/>
    <x v="2"/>
    <x v="900"/>
  </r>
  <r>
    <s v="ORD200904"/>
    <x v="580"/>
    <s v="C16693"/>
    <x v="0"/>
    <x v="3"/>
    <x v="900"/>
    <x v="348"/>
    <x v="4"/>
    <x v="1"/>
    <s v="TRK41146508"/>
    <x v="2"/>
    <x v="3"/>
    <x v="1"/>
    <x v="901"/>
  </r>
  <r>
    <s v="ORD200905"/>
    <x v="581"/>
    <s v="C67818"/>
    <x v="5"/>
    <x v="2"/>
    <x v="901"/>
    <x v="267"/>
    <x v="3"/>
    <x v="4"/>
    <s v="TRK81978113"/>
    <x v="5"/>
    <x v="1"/>
    <x v="3"/>
    <x v="902"/>
  </r>
  <r>
    <s v="ORD200906"/>
    <x v="459"/>
    <s v="C49938"/>
    <x v="0"/>
    <x v="2"/>
    <x v="902"/>
    <x v="567"/>
    <x v="4"/>
    <x v="2"/>
    <s v="TRK80175572"/>
    <x v="7"/>
    <x v="2"/>
    <x v="2"/>
    <x v="903"/>
  </r>
  <r>
    <s v="ORD200907"/>
    <x v="548"/>
    <s v="C90898"/>
    <x v="6"/>
    <x v="0"/>
    <x v="903"/>
    <x v="124"/>
    <x v="3"/>
    <x v="1"/>
    <s v="TRK52935170"/>
    <x v="0"/>
    <x v="3"/>
    <x v="1"/>
    <x v="904"/>
  </r>
  <r>
    <s v="ORD200908"/>
    <x v="138"/>
    <s v="C35117"/>
    <x v="6"/>
    <x v="1"/>
    <x v="904"/>
    <x v="157"/>
    <x v="2"/>
    <x v="1"/>
    <s v="TRK27155709"/>
    <x v="7"/>
    <x v="0"/>
    <x v="4"/>
    <x v="905"/>
  </r>
  <r>
    <s v="ORD200909"/>
    <x v="582"/>
    <s v="C60203"/>
    <x v="2"/>
    <x v="1"/>
    <x v="905"/>
    <x v="21"/>
    <x v="4"/>
    <x v="0"/>
    <s v="TRK76525279"/>
    <x v="3"/>
    <x v="1"/>
    <x v="0"/>
    <x v="906"/>
  </r>
  <r>
    <s v="ORD200910"/>
    <x v="583"/>
    <s v="C36174"/>
    <x v="4"/>
    <x v="4"/>
    <x v="906"/>
    <x v="71"/>
    <x v="4"/>
    <x v="3"/>
    <s v="TRK26397548"/>
    <x v="1"/>
    <x v="0"/>
    <x v="0"/>
    <x v="907"/>
  </r>
  <r>
    <s v="ORD200911"/>
    <x v="584"/>
    <s v="C80872"/>
    <x v="6"/>
    <x v="0"/>
    <x v="907"/>
    <x v="110"/>
    <x v="4"/>
    <x v="1"/>
    <s v="TRK43967487"/>
    <x v="6"/>
    <x v="0"/>
    <x v="0"/>
    <x v="908"/>
  </r>
  <r>
    <s v="ORD200912"/>
    <x v="585"/>
    <s v="C67604"/>
    <x v="6"/>
    <x v="1"/>
    <x v="908"/>
    <x v="82"/>
    <x v="1"/>
    <x v="2"/>
    <s v="TRK85545920"/>
    <x v="0"/>
    <x v="1"/>
    <x v="2"/>
    <x v="909"/>
  </r>
  <r>
    <s v="ORD200913"/>
    <x v="223"/>
    <s v="C45599"/>
    <x v="4"/>
    <x v="0"/>
    <x v="909"/>
    <x v="173"/>
    <x v="2"/>
    <x v="2"/>
    <s v="TRK62277685"/>
    <x v="2"/>
    <x v="3"/>
    <x v="3"/>
    <x v="910"/>
  </r>
  <r>
    <s v="ORD200914"/>
    <x v="441"/>
    <s v="C70352"/>
    <x v="6"/>
    <x v="2"/>
    <x v="910"/>
    <x v="341"/>
    <x v="3"/>
    <x v="2"/>
    <s v="TRK51589589"/>
    <x v="4"/>
    <x v="3"/>
    <x v="3"/>
    <x v="911"/>
  </r>
  <r>
    <s v="ORD200915"/>
    <x v="586"/>
    <s v="C20643"/>
    <x v="5"/>
    <x v="3"/>
    <x v="911"/>
    <x v="568"/>
    <x v="0"/>
    <x v="0"/>
    <s v="TRK30736692"/>
    <x v="4"/>
    <x v="3"/>
    <x v="1"/>
    <x v="912"/>
  </r>
  <r>
    <s v="ORD200916"/>
    <x v="587"/>
    <s v="C35669"/>
    <x v="4"/>
    <x v="0"/>
    <x v="912"/>
    <x v="503"/>
    <x v="4"/>
    <x v="2"/>
    <s v="TRK13928455"/>
    <x v="5"/>
    <x v="2"/>
    <x v="1"/>
    <x v="913"/>
  </r>
  <r>
    <s v="ORD200917"/>
    <x v="588"/>
    <s v="C65524"/>
    <x v="5"/>
    <x v="0"/>
    <x v="913"/>
    <x v="569"/>
    <x v="2"/>
    <x v="2"/>
    <s v="TRK19315310"/>
    <x v="0"/>
    <x v="1"/>
    <x v="4"/>
    <x v="914"/>
  </r>
  <r>
    <s v="ORD200918"/>
    <x v="53"/>
    <s v="C74359"/>
    <x v="5"/>
    <x v="0"/>
    <x v="914"/>
    <x v="7"/>
    <x v="1"/>
    <x v="3"/>
    <s v="TRK18250450"/>
    <x v="3"/>
    <x v="2"/>
    <x v="0"/>
    <x v="915"/>
  </r>
  <r>
    <s v="ORD200919"/>
    <x v="492"/>
    <s v="C92086"/>
    <x v="4"/>
    <x v="1"/>
    <x v="915"/>
    <x v="112"/>
    <x v="1"/>
    <x v="0"/>
    <s v="TRK23357668"/>
    <x v="1"/>
    <x v="1"/>
    <x v="1"/>
    <x v="916"/>
  </r>
  <r>
    <s v="ORD200920"/>
    <x v="495"/>
    <s v="C26137"/>
    <x v="2"/>
    <x v="1"/>
    <x v="916"/>
    <x v="264"/>
    <x v="2"/>
    <x v="2"/>
    <s v="TRK98110407"/>
    <x v="5"/>
    <x v="2"/>
    <x v="0"/>
    <x v="917"/>
  </r>
  <r>
    <s v="ORD200921"/>
    <x v="528"/>
    <s v="C90573"/>
    <x v="2"/>
    <x v="2"/>
    <x v="917"/>
    <x v="570"/>
    <x v="3"/>
    <x v="1"/>
    <s v="TRK90075720"/>
    <x v="1"/>
    <x v="0"/>
    <x v="1"/>
    <x v="918"/>
  </r>
  <r>
    <s v="ORD200922"/>
    <x v="589"/>
    <s v="C81857"/>
    <x v="6"/>
    <x v="1"/>
    <x v="918"/>
    <x v="571"/>
    <x v="2"/>
    <x v="4"/>
    <s v="TRK79737732"/>
    <x v="1"/>
    <x v="2"/>
    <x v="0"/>
    <x v="919"/>
  </r>
  <r>
    <s v="ORD200923"/>
    <x v="91"/>
    <s v="C91582"/>
    <x v="4"/>
    <x v="4"/>
    <x v="919"/>
    <x v="569"/>
    <x v="2"/>
    <x v="4"/>
    <s v="TRK99938245"/>
    <x v="0"/>
    <x v="3"/>
    <x v="3"/>
    <x v="920"/>
  </r>
  <r>
    <s v="ORD200924"/>
    <x v="29"/>
    <s v="C81319"/>
    <x v="4"/>
    <x v="0"/>
    <x v="920"/>
    <x v="392"/>
    <x v="4"/>
    <x v="2"/>
    <s v="TRK55330558"/>
    <x v="3"/>
    <x v="0"/>
    <x v="2"/>
    <x v="921"/>
  </r>
  <r>
    <s v="ORD200925"/>
    <x v="590"/>
    <s v="C78500"/>
    <x v="0"/>
    <x v="0"/>
    <x v="921"/>
    <x v="323"/>
    <x v="1"/>
    <x v="0"/>
    <s v="TRK97460884"/>
    <x v="8"/>
    <x v="3"/>
    <x v="2"/>
    <x v="922"/>
  </r>
  <r>
    <s v="ORD200926"/>
    <x v="591"/>
    <s v="C67533"/>
    <x v="6"/>
    <x v="2"/>
    <x v="922"/>
    <x v="364"/>
    <x v="4"/>
    <x v="3"/>
    <s v="TRK14566395"/>
    <x v="9"/>
    <x v="3"/>
    <x v="2"/>
    <x v="923"/>
  </r>
  <r>
    <s v="ORD200927"/>
    <x v="592"/>
    <s v="C35566"/>
    <x v="5"/>
    <x v="3"/>
    <x v="923"/>
    <x v="463"/>
    <x v="0"/>
    <x v="0"/>
    <s v="TRK10003020"/>
    <x v="0"/>
    <x v="3"/>
    <x v="4"/>
    <x v="924"/>
  </r>
  <r>
    <s v="ORD200928"/>
    <x v="593"/>
    <s v="C77166"/>
    <x v="5"/>
    <x v="4"/>
    <x v="924"/>
    <x v="218"/>
    <x v="0"/>
    <x v="2"/>
    <s v="TRK18896595"/>
    <x v="1"/>
    <x v="3"/>
    <x v="1"/>
    <x v="925"/>
  </r>
  <r>
    <s v="ORD200929"/>
    <x v="594"/>
    <s v="C67936"/>
    <x v="2"/>
    <x v="1"/>
    <x v="925"/>
    <x v="158"/>
    <x v="0"/>
    <x v="4"/>
    <s v="TRK71803414"/>
    <x v="1"/>
    <x v="2"/>
    <x v="2"/>
    <x v="926"/>
  </r>
  <r>
    <s v="ORD200930"/>
    <x v="393"/>
    <s v="C59554"/>
    <x v="1"/>
    <x v="1"/>
    <x v="926"/>
    <x v="17"/>
    <x v="0"/>
    <x v="2"/>
    <s v="TRK28182447"/>
    <x v="4"/>
    <x v="1"/>
    <x v="2"/>
    <x v="927"/>
  </r>
  <r>
    <s v="ORD200931"/>
    <x v="543"/>
    <s v="C14005"/>
    <x v="4"/>
    <x v="1"/>
    <x v="927"/>
    <x v="50"/>
    <x v="2"/>
    <x v="1"/>
    <s v="TRK87567926"/>
    <x v="4"/>
    <x v="0"/>
    <x v="4"/>
    <x v="928"/>
  </r>
  <r>
    <s v="ORD200932"/>
    <x v="465"/>
    <s v="C26118"/>
    <x v="5"/>
    <x v="1"/>
    <x v="928"/>
    <x v="572"/>
    <x v="1"/>
    <x v="3"/>
    <s v="TRK15334251"/>
    <x v="0"/>
    <x v="3"/>
    <x v="0"/>
    <x v="929"/>
  </r>
  <r>
    <s v="ORD200933"/>
    <x v="595"/>
    <s v="C59685"/>
    <x v="0"/>
    <x v="1"/>
    <x v="929"/>
    <x v="207"/>
    <x v="1"/>
    <x v="0"/>
    <s v="TRK43718093"/>
    <x v="7"/>
    <x v="2"/>
    <x v="1"/>
    <x v="930"/>
  </r>
  <r>
    <s v="ORD200934"/>
    <x v="565"/>
    <s v="C40304"/>
    <x v="5"/>
    <x v="3"/>
    <x v="930"/>
    <x v="194"/>
    <x v="3"/>
    <x v="0"/>
    <s v="TRK85790948"/>
    <x v="2"/>
    <x v="1"/>
    <x v="1"/>
    <x v="931"/>
  </r>
  <r>
    <s v="ORD200935"/>
    <x v="254"/>
    <s v="C39593"/>
    <x v="1"/>
    <x v="4"/>
    <x v="931"/>
    <x v="282"/>
    <x v="2"/>
    <x v="3"/>
    <s v="TRK62405253"/>
    <x v="1"/>
    <x v="1"/>
    <x v="0"/>
    <x v="932"/>
  </r>
  <r>
    <s v="ORD200936"/>
    <x v="596"/>
    <s v="C50612"/>
    <x v="3"/>
    <x v="3"/>
    <x v="932"/>
    <x v="144"/>
    <x v="1"/>
    <x v="3"/>
    <s v="TRK44140968"/>
    <x v="4"/>
    <x v="0"/>
    <x v="0"/>
    <x v="933"/>
  </r>
  <r>
    <s v="ORD200937"/>
    <x v="462"/>
    <s v="C39791"/>
    <x v="3"/>
    <x v="1"/>
    <x v="933"/>
    <x v="325"/>
    <x v="0"/>
    <x v="1"/>
    <s v="TRK46221436"/>
    <x v="3"/>
    <x v="3"/>
    <x v="2"/>
    <x v="934"/>
  </r>
  <r>
    <s v="ORD200938"/>
    <x v="219"/>
    <s v="C39017"/>
    <x v="3"/>
    <x v="4"/>
    <x v="934"/>
    <x v="386"/>
    <x v="2"/>
    <x v="1"/>
    <s v="TRK91155214"/>
    <x v="5"/>
    <x v="3"/>
    <x v="1"/>
    <x v="935"/>
  </r>
  <r>
    <s v="ORD200939"/>
    <x v="597"/>
    <s v="C48510"/>
    <x v="5"/>
    <x v="1"/>
    <x v="935"/>
    <x v="573"/>
    <x v="4"/>
    <x v="3"/>
    <s v="TRK53152886"/>
    <x v="0"/>
    <x v="0"/>
    <x v="0"/>
    <x v="936"/>
  </r>
  <r>
    <s v="ORD200940"/>
    <x v="14"/>
    <s v="C74003"/>
    <x v="4"/>
    <x v="3"/>
    <x v="936"/>
    <x v="574"/>
    <x v="1"/>
    <x v="1"/>
    <s v="TRK91525779"/>
    <x v="4"/>
    <x v="0"/>
    <x v="4"/>
    <x v="937"/>
  </r>
  <r>
    <s v="ORD200941"/>
    <x v="15"/>
    <s v="C91155"/>
    <x v="4"/>
    <x v="0"/>
    <x v="937"/>
    <x v="280"/>
    <x v="2"/>
    <x v="1"/>
    <s v="TRK82162952"/>
    <x v="6"/>
    <x v="1"/>
    <x v="2"/>
    <x v="938"/>
  </r>
  <r>
    <s v="ORD200942"/>
    <x v="372"/>
    <s v="C17591"/>
    <x v="2"/>
    <x v="2"/>
    <x v="938"/>
    <x v="189"/>
    <x v="2"/>
    <x v="4"/>
    <s v="TRK56070470"/>
    <x v="9"/>
    <x v="2"/>
    <x v="2"/>
    <x v="939"/>
  </r>
  <r>
    <s v="ORD200943"/>
    <x v="140"/>
    <s v="C43330"/>
    <x v="0"/>
    <x v="4"/>
    <x v="939"/>
    <x v="575"/>
    <x v="3"/>
    <x v="2"/>
    <s v="TRK71594838"/>
    <x v="5"/>
    <x v="1"/>
    <x v="3"/>
    <x v="940"/>
  </r>
  <r>
    <s v="ORD200944"/>
    <x v="393"/>
    <s v="C32687"/>
    <x v="5"/>
    <x v="1"/>
    <x v="940"/>
    <x v="554"/>
    <x v="1"/>
    <x v="3"/>
    <s v="TRK98284560"/>
    <x v="0"/>
    <x v="3"/>
    <x v="4"/>
    <x v="941"/>
  </r>
  <r>
    <s v="ORD200945"/>
    <x v="38"/>
    <s v="C79722"/>
    <x v="2"/>
    <x v="0"/>
    <x v="941"/>
    <x v="285"/>
    <x v="3"/>
    <x v="0"/>
    <s v="TRK29976438"/>
    <x v="8"/>
    <x v="1"/>
    <x v="1"/>
    <x v="942"/>
  </r>
  <r>
    <s v="ORD200946"/>
    <x v="598"/>
    <s v="C65021"/>
    <x v="1"/>
    <x v="1"/>
    <x v="942"/>
    <x v="274"/>
    <x v="4"/>
    <x v="0"/>
    <s v="TRK20626179"/>
    <x v="4"/>
    <x v="0"/>
    <x v="2"/>
    <x v="943"/>
  </r>
  <r>
    <s v="ORD200947"/>
    <x v="599"/>
    <s v="C85520"/>
    <x v="1"/>
    <x v="3"/>
    <x v="943"/>
    <x v="232"/>
    <x v="1"/>
    <x v="2"/>
    <s v="TRK65994177"/>
    <x v="6"/>
    <x v="1"/>
    <x v="2"/>
    <x v="944"/>
  </r>
  <r>
    <s v="ORD200948"/>
    <x v="587"/>
    <s v="C94569"/>
    <x v="1"/>
    <x v="1"/>
    <x v="944"/>
    <x v="361"/>
    <x v="3"/>
    <x v="1"/>
    <s v="TRK79269291"/>
    <x v="7"/>
    <x v="2"/>
    <x v="4"/>
    <x v="945"/>
  </r>
  <r>
    <s v="ORD200949"/>
    <x v="576"/>
    <s v="C55778"/>
    <x v="6"/>
    <x v="0"/>
    <x v="945"/>
    <x v="322"/>
    <x v="4"/>
    <x v="4"/>
    <s v="TRK93797108"/>
    <x v="8"/>
    <x v="2"/>
    <x v="1"/>
    <x v="946"/>
  </r>
  <r>
    <s v="ORD200950"/>
    <x v="583"/>
    <s v="C19722"/>
    <x v="5"/>
    <x v="2"/>
    <x v="946"/>
    <x v="18"/>
    <x v="2"/>
    <x v="2"/>
    <s v="TRK78094361"/>
    <x v="4"/>
    <x v="1"/>
    <x v="0"/>
    <x v="947"/>
  </r>
  <r>
    <s v="ORD200951"/>
    <x v="319"/>
    <s v="C74928"/>
    <x v="4"/>
    <x v="1"/>
    <x v="947"/>
    <x v="227"/>
    <x v="1"/>
    <x v="2"/>
    <s v="TRK39845914"/>
    <x v="4"/>
    <x v="1"/>
    <x v="2"/>
    <x v="948"/>
  </r>
  <r>
    <s v="ORD200952"/>
    <x v="37"/>
    <s v="C49111"/>
    <x v="0"/>
    <x v="4"/>
    <x v="948"/>
    <x v="576"/>
    <x v="1"/>
    <x v="4"/>
    <s v="TRK45303393"/>
    <x v="3"/>
    <x v="2"/>
    <x v="3"/>
    <x v="949"/>
  </r>
  <r>
    <s v="ORD200953"/>
    <x v="600"/>
    <s v="C43721"/>
    <x v="1"/>
    <x v="2"/>
    <x v="949"/>
    <x v="76"/>
    <x v="4"/>
    <x v="0"/>
    <s v="TRK89392104"/>
    <x v="7"/>
    <x v="1"/>
    <x v="3"/>
    <x v="950"/>
  </r>
  <r>
    <s v="ORD200954"/>
    <x v="601"/>
    <s v="C68609"/>
    <x v="3"/>
    <x v="4"/>
    <x v="950"/>
    <x v="146"/>
    <x v="3"/>
    <x v="0"/>
    <s v="TRK58273778"/>
    <x v="1"/>
    <x v="1"/>
    <x v="4"/>
    <x v="951"/>
  </r>
  <r>
    <s v="ORD200955"/>
    <x v="19"/>
    <s v="C82068"/>
    <x v="3"/>
    <x v="2"/>
    <x v="951"/>
    <x v="213"/>
    <x v="3"/>
    <x v="0"/>
    <s v="TRK25779180"/>
    <x v="1"/>
    <x v="3"/>
    <x v="0"/>
    <x v="952"/>
  </r>
  <r>
    <s v="ORD200956"/>
    <x v="166"/>
    <s v="C21191"/>
    <x v="1"/>
    <x v="1"/>
    <x v="952"/>
    <x v="577"/>
    <x v="0"/>
    <x v="3"/>
    <s v="TRK86246309"/>
    <x v="1"/>
    <x v="0"/>
    <x v="1"/>
    <x v="953"/>
  </r>
  <r>
    <s v="ORD200957"/>
    <x v="602"/>
    <s v="C73575"/>
    <x v="0"/>
    <x v="0"/>
    <x v="953"/>
    <x v="578"/>
    <x v="4"/>
    <x v="2"/>
    <s v="TRK23387612"/>
    <x v="2"/>
    <x v="3"/>
    <x v="3"/>
    <x v="954"/>
  </r>
  <r>
    <s v="ORD200958"/>
    <x v="603"/>
    <s v="C82685"/>
    <x v="6"/>
    <x v="4"/>
    <x v="954"/>
    <x v="246"/>
    <x v="3"/>
    <x v="3"/>
    <s v="TRK70184320"/>
    <x v="0"/>
    <x v="3"/>
    <x v="2"/>
    <x v="955"/>
  </r>
  <r>
    <s v="ORD200959"/>
    <x v="604"/>
    <s v="C73996"/>
    <x v="2"/>
    <x v="1"/>
    <x v="955"/>
    <x v="252"/>
    <x v="2"/>
    <x v="2"/>
    <s v="TRK74579570"/>
    <x v="5"/>
    <x v="0"/>
    <x v="0"/>
    <x v="956"/>
  </r>
  <r>
    <s v="ORD200960"/>
    <x v="66"/>
    <s v="C87687"/>
    <x v="5"/>
    <x v="4"/>
    <x v="956"/>
    <x v="304"/>
    <x v="3"/>
    <x v="4"/>
    <s v="TRK60383805"/>
    <x v="1"/>
    <x v="3"/>
    <x v="4"/>
    <x v="957"/>
  </r>
  <r>
    <s v="ORD200961"/>
    <x v="435"/>
    <s v="C55464"/>
    <x v="1"/>
    <x v="2"/>
    <x v="957"/>
    <x v="275"/>
    <x v="1"/>
    <x v="0"/>
    <s v="TRK81178598"/>
    <x v="9"/>
    <x v="2"/>
    <x v="3"/>
    <x v="958"/>
  </r>
  <r>
    <s v="ORD200962"/>
    <x v="605"/>
    <s v="C12459"/>
    <x v="1"/>
    <x v="1"/>
    <x v="958"/>
    <x v="211"/>
    <x v="3"/>
    <x v="3"/>
    <s v="TRK30674085"/>
    <x v="4"/>
    <x v="0"/>
    <x v="1"/>
    <x v="959"/>
  </r>
  <r>
    <s v="ORD200963"/>
    <x v="606"/>
    <s v="C88075"/>
    <x v="3"/>
    <x v="0"/>
    <x v="959"/>
    <x v="162"/>
    <x v="1"/>
    <x v="0"/>
    <s v="TRK42832976"/>
    <x v="6"/>
    <x v="1"/>
    <x v="4"/>
    <x v="960"/>
  </r>
  <r>
    <s v="ORD200964"/>
    <x v="38"/>
    <s v="C18583"/>
    <x v="1"/>
    <x v="0"/>
    <x v="960"/>
    <x v="320"/>
    <x v="2"/>
    <x v="1"/>
    <s v="TRK43084595"/>
    <x v="8"/>
    <x v="0"/>
    <x v="1"/>
    <x v="961"/>
  </r>
  <r>
    <s v="ORD200965"/>
    <x v="607"/>
    <s v="C70412"/>
    <x v="5"/>
    <x v="3"/>
    <x v="961"/>
    <x v="231"/>
    <x v="3"/>
    <x v="1"/>
    <s v="TRK22192783"/>
    <x v="3"/>
    <x v="1"/>
    <x v="2"/>
    <x v="962"/>
  </r>
  <r>
    <s v="ORD200966"/>
    <x v="608"/>
    <s v="C58503"/>
    <x v="0"/>
    <x v="0"/>
    <x v="962"/>
    <x v="579"/>
    <x v="2"/>
    <x v="1"/>
    <s v="TRK12981657"/>
    <x v="0"/>
    <x v="3"/>
    <x v="3"/>
    <x v="963"/>
  </r>
  <r>
    <s v="ORD200967"/>
    <x v="138"/>
    <s v="C52879"/>
    <x v="2"/>
    <x v="0"/>
    <x v="963"/>
    <x v="580"/>
    <x v="2"/>
    <x v="2"/>
    <s v="TRK67403284"/>
    <x v="3"/>
    <x v="1"/>
    <x v="4"/>
    <x v="964"/>
  </r>
  <r>
    <s v="ORD200968"/>
    <x v="458"/>
    <s v="C67870"/>
    <x v="0"/>
    <x v="3"/>
    <x v="964"/>
    <x v="533"/>
    <x v="2"/>
    <x v="0"/>
    <s v="TRK72602178"/>
    <x v="5"/>
    <x v="3"/>
    <x v="1"/>
    <x v="965"/>
  </r>
  <r>
    <s v="ORD200969"/>
    <x v="85"/>
    <s v="C19439"/>
    <x v="6"/>
    <x v="2"/>
    <x v="965"/>
    <x v="581"/>
    <x v="3"/>
    <x v="0"/>
    <s v="TRK25383993"/>
    <x v="7"/>
    <x v="3"/>
    <x v="3"/>
    <x v="966"/>
  </r>
  <r>
    <s v="ORD200970"/>
    <x v="609"/>
    <s v="C72664"/>
    <x v="6"/>
    <x v="2"/>
    <x v="966"/>
    <x v="582"/>
    <x v="4"/>
    <x v="3"/>
    <s v="TRK86694331"/>
    <x v="3"/>
    <x v="0"/>
    <x v="0"/>
    <x v="967"/>
  </r>
  <r>
    <s v="ORD200971"/>
    <x v="582"/>
    <s v="C32650"/>
    <x v="0"/>
    <x v="1"/>
    <x v="967"/>
    <x v="5"/>
    <x v="4"/>
    <x v="1"/>
    <s v="TRK66648743"/>
    <x v="4"/>
    <x v="3"/>
    <x v="1"/>
    <x v="968"/>
  </r>
  <r>
    <s v="ORD200972"/>
    <x v="410"/>
    <s v="C66438"/>
    <x v="5"/>
    <x v="2"/>
    <x v="968"/>
    <x v="583"/>
    <x v="4"/>
    <x v="3"/>
    <s v="TRK32035271"/>
    <x v="3"/>
    <x v="0"/>
    <x v="3"/>
    <x v="969"/>
  </r>
  <r>
    <s v="ORD200973"/>
    <x v="559"/>
    <s v="C70010"/>
    <x v="6"/>
    <x v="0"/>
    <x v="969"/>
    <x v="567"/>
    <x v="1"/>
    <x v="4"/>
    <s v="TRK50594008"/>
    <x v="8"/>
    <x v="3"/>
    <x v="1"/>
    <x v="970"/>
  </r>
  <r>
    <s v="ORD200974"/>
    <x v="610"/>
    <s v="C30722"/>
    <x v="6"/>
    <x v="0"/>
    <x v="970"/>
    <x v="263"/>
    <x v="3"/>
    <x v="1"/>
    <s v="TRK52088168"/>
    <x v="3"/>
    <x v="2"/>
    <x v="2"/>
    <x v="971"/>
  </r>
  <r>
    <s v="ORD200975"/>
    <x v="419"/>
    <s v="C70529"/>
    <x v="6"/>
    <x v="2"/>
    <x v="971"/>
    <x v="233"/>
    <x v="3"/>
    <x v="2"/>
    <s v="TRK82165408"/>
    <x v="5"/>
    <x v="0"/>
    <x v="2"/>
    <x v="972"/>
  </r>
  <r>
    <s v="ORD200976"/>
    <x v="172"/>
    <s v="C18984"/>
    <x v="2"/>
    <x v="4"/>
    <x v="972"/>
    <x v="531"/>
    <x v="2"/>
    <x v="2"/>
    <s v="TRK49298239"/>
    <x v="5"/>
    <x v="3"/>
    <x v="1"/>
    <x v="973"/>
  </r>
  <r>
    <s v="ORD200977"/>
    <x v="423"/>
    <s v="C85841"/>
    <x v="3"/>
    <x v="3"/>
    <x v="973"/>
    <x v="584"/>
    <x v="4"/>
    <x v="4"/>
    <s v="TRK99820544"/>
    <x v="2"/>
    <x v="0"/>
    <x v="4"/>
    <x v="974"/>
  </r>
  <r>
    <s v="ORD200978"/>
    <x v="611"/>
    <s v="C41508"/>
    <x v="4"/>
    <x v="3"/>
    <x v="974"/>
    <x v="477"/>
    <x v="4"/>
    <x v="3"/>
    <s v="TRK61047536"/>
    <x v="3"/>
    <x v="2"/>
    <x v="4"/>
    <x v="975"/>
  </r>
  <r>
    <s v="ORD200979"/>
    <x v="546"/>
    <s v="C75018"/>
    <x v="0"/>
    <x v="4"/>
    <x v="975"/>
    <x v="238"/>
    <x v="4"/>
    <x v="3"/>
    <s v="TRK51794806"/>
    <x v="0"/>
    <x v="0"/>
    <x v="3"/>
    <x v="976"/>
  </r>
  <r>
    <s v="ORD200980"/>
    <x v="612"/>
    <s v="C84320"/>
    <x v="3"/>
    <x v="4"/>
    <x v="976"/>
    <x v="585"/>
    <x v="4"/>
    <x v="3"/>
    <s v="TRK81093218"/>
    <x v="0"/>
    <x v="3"/>
    <x v="0"/>
    <x v="977"/>
  </r>
  <r>
    <s v="ORD200981"/>
    <x v="371"/>
    <s v="C12609"/>
    <x v="1"/>
    <x v="3"/>
    <x v="977"/>
    <x v="586"/>
    <x v="0"/>
    <x v="4"/>
    <s v="TRK56379337"/>
    <x v="2"/>
    <x v="0"/>
    <x v="2"/>
    <x v="978"/>
  </r>
  <r>
    <s v="ORD200982"/>
    <x v="605"/>
    <s v="C64935"/>
    <x v="0"/>
    <x v="2"/>
    <x v="978"/>
    <x v="479"/>
    <x v="3"/>
    <x v="0"/>
    <s v="TRK42969065"/>
    <x v="7"/>
    <x v="0"/>
    <x v="1"/>
    <x v="979"/>
  </r>
  <r>
    <s v="ORD200983"/>
    <x v="167"/>
    <s v="C67528"/>
    <x v="0"/>
    <x v="3"/>
    <x v="979"/>
    <x v="587"/>
    <x v="3"/>
    <x v="0"/>
    <s v="TRK60865210"/>
    <x v="3"/>
    <x v="0"/>
    <x v="2"/>
    <x v="980"/>
  </r>
  <r>
    <s v="ORD200984"/>
    <x v="252"/>
    <s v="C44176"/>
    <x v="6"/>
    <x v="2"/>
    <x v="980"/>
    <x v="7"/>
    <x v="2"/>
    <x v="0"/>
    <s v="TRK68704764"/>
    <x v="9"/>
    <x v="1"/>
    <x v="3"/>
    <x v="981"/>
  </r>
  <r>
    <s v="ORD200985"/>
    <x v="351"/>
    <s v="C92788"/>
    <x v="6"/>
    <x v="2"/>
    <x v="981"/>
    <x v="198"/>
    <x v="3"/>
    <x v="3"/>
    <s v="TRK83835361"/>
    <x v="5"/>
    <x v="0"/>
    <x v="4"/>
    <x v="982"/>
  </r>
  <r>
    <s v="ORD200986"/>
    <x v="609"/>
    <s v="C69213"/>
    <x v="5"/>
    <x v="3"/>
    <x v="982"/>
    <x v="91"/>
    <x v="2"/>
    <x v="4"/>
    <s v="TRK67837331"/>
    <x v="0"/>
    <x v="1"/>
    <x v="2"/>
    <x v="983"/>
  </r>
  <r>
    <s v="ORD200987"/>
    <x v="85"/>
    <s v="C67387"/>
    <x v="1"/>
    <x v="0"/>
    <x v="983"/>
    <x v="342"/>
    <x v="3"/>
    <x v="4"/>
    <s v="TRK54120003"/>
    <x v="2"/>
    <x v="1"/>
    <x v="0"/>
    <x v="984"/>
  </r>
  <r>
    <s v="ORD200988"/>
    <x v="496"/>
    <s v="C90318"/>
    <x v="6"/>
    <x v="1"/>
    <x v="984"/>
    <x v="277"/>
    <x v="3"/>
    <x v="1"/>
    <s v="TRK52765043"/>
    <x v="3"/>
    <x v="3"/>
    <x v="0"/>
    <x v="985"/>
  </r>
  <r>
    <s v="ORD200989"/>
    <x v="613"/>
    <s v="C49995"/>
    <x v="5"/>
    <x v="3"/>
    <x v="985"/>
    <x v="588"/>
    <x v="2"/>
    <x v="4"/>
    <s v="TRK33212013"/>
    <x v="4"/>
    <x v="0"/>
    <x v="0"/>
    <x v="986"/>
  </r>
  <r>
    <s v="ORD200990"/>
    <x v="614"/>
    <s v="C52313"/>
    <x v="1"/>
    <x v="1"/>
    <x v="986"/>
    <x v="589"/>
    <x v="0"/>
    <x v="4"/>
    <s v="TRK67368559"/>
    <x v="7"/>
    <x v="0"/>
    <x v="4"/>
    <x v="987"/>
  </r>
  <r>
    <s v="ORD200991"/>
    <x v="593"/>
    <s v="C10211"/>
    <x v="6"/>
    <x v="0"/>
    <x v="66"/>
    <x v="128"/>
    <x v="0"/>
    <x v="1"/>
    <s v="TRK68938335"/>
    <x v="8"/>
    <x v="1"/>
    <x v="4"/>
    <x v="66"/>
  </r>
  <r>
    <s v="ORD200992"/>
    <x v="615"/>
    <s v="C97907"/>
    <x v="4"/>
    <x v="4"/>
    <x v="987"/>
    <x v="133"/>
    <x v="3"/>
    <x v="4"/>
    <s v="TRK89637569"/>
    <x v="4"/>
    <x v="3"/>
    <x v="1"/>
    <x v="988"/>
  </r>
  <r>
    <s v="ORD200993"/>
    <x v="616"/>
    <s v="C61384"/>
    <x v="0"/>
    <x v="4"/>
    <x v="988"/>
    <x v="590"/>
    <x v="3"/>
    <x v="3"/>
    <s v="TRK33323210"/>
    <x v="3"/>
    <x v="3"/>
    <x v="0"/>
    <x v="989"/>
  </r>
  <r>
    <s v="ORD200994"/>
    <x v="326"/>
    <s v="C27613"/>
    <x v="2"/>
    <x v="3"/>
    <x v="989"/>
    <x v="76"/>
    <x v="0"/>
    <x v="3"/>
    <s v="TRK63701318"/>
    <x v="6"/>
    <x v="3"/>
    <x v="4"/>
    <x v="990"/>
  </r>
  <r>
    <s v="ORD200995"/>
    <x v="134"/>
    <s v="C99271"/>
    <x v="0"/>
    <x v="1"/>
    <x v="990"/>
    <x v="391"/>
    <x v="4"/>
    <x v="4"/>
    <s v="TRK87832736"/>
    <x v="3"/>
    <x v="0"/>
    <x v="3"/>
    <x v="991"/>
  </r>
  <r>
    <s v="ORD200996"/>
    <x v="578"/>
    <s v="C28648"/>
    <x v="0"/>
    <x v="3"/>
    <x v="991"/>
    <x v="267"/>
    <x v="0"/>
    <x v="3"/>
    <s v="TRK92240846"/>
    <x v="0"/>
    <x v="0"/>
    <x v="3"/>
    <x v="992"/>
  </r>
  <r>
    <s v="ORD200997"/>
    <x v="110"/>
    <s v="C26210"/>
    <x v="5"/>
    <x v="4"/>
    <x v="992"/>
    <x v="385"/>
    <x v="4"/>
    <x v="3"/>
    <s v="TRK40616861"/>
    <x v="5"/>
    <x v="0"/>
    <x v="3"/>
    <x v="993"/>
  </r>
  <r>
    <s v="ORD200998"/>
    <x v="213"/>
    <s v="C90350"/>
    <x v="1"/>
    <x v="1"/>
    <x v="358"/>
    <x v="204"/>
    <x v="0"/>
    <x v="1"/>
    <s v="TRK22824230"/>
    <x v="5"/>
    <x v="0"/>
    <x v="4"/>
    <x v="357"/>
  </r>
  <r>
    <s v="ORD200999"/>
    <x v="478"/>
    <s v="C61957"/>
    <x v="4"/>
    <x v="2"/>
    <x v="993"/>
    <x v="331"/>
    <x v="4"/>
    <x v="4"/>
    <s v="TRK43983841"/>
    <x v="5"/>
    <x v="1"/>
    <x v="4"/>
    <x v="994"/>
  </r>
  <r>
    <s v="ORD201000"/>
    <x v="617"/>
    <s v="C90132"/>
    <x v="4"/>
    <x v="0"/>
    <x v="994"/>
    <x v="591"/>
    <x v="1"/>
    <x v="3"/>
    <s v="TRK52664903"/>
    <x v="6"/>
    <x v="0"/>
    <x v="2"/>
    <x v="995"/>
  </r>
  <r>
    <s v="ORD201001"/>
    <x v="618"/>
    <s v="C31371"/>
    <x v="4"/>
    <x v="1"/>
    <x v="995"/>
    <x v="108"/>
    <x v="3"/>
    <x v="0"/>
    <s v="TRK19554327"/>
    <x v="5"/>
    <x v="2"/>
    <x v="1"/>
    <x v="996"/>
  </r>
  <r>
    <s v="ORD201002"/>
    <x v="619"/>
    <s v="C83911"/>
    <x v="2"/>
    <x v="3"/>
    <x v="996"/>
    <x v="95"/>
    <x v="4"/>
    <x v="4"/>
    <s v="TRK33188106"/>
    <x v="3"/>
    <x v="3"/>
    <x v="1"/>
    <x v="997"/>
  </r>
  <r>
    <s v="ORD201003"/>
    <x v="348"/>
    <s v="C84700"/>
    <x v="4"/>
    <x v="0"/>
    <x v="997"/>
    <x v="591"/>
    <x v="4"/>
    <x v="0"/>
    <s v="TRK14706969"/>
    <x v="0"/>
    <x v="0"/>
    <x v="4"/>
    <x v="998"/>
  </r>
  <r>
    <s v="ORD201004"/>
    <x v="559"/>
    <s v="C87529"/>
    <x v="3"/>
    <x v="3"/>
    <x v="998"/>
    <x v="26"/>
    <x v="1"/>
    <x v="4"/>
    <s v="TRK15739505"/>
    <x v="2"/>
    <x v="0"/>
    <x v="1"/>
    <x v="999"/>
  </r>
  <r>
    <s v="ORD201005"/>
    <x v="521"/>
    <s v="C38065"/>
    <x v="4"/>
    <x v="4"/>
    <x v="999"/>
    <x v="519"/>
    <x v="2"/>
    <x v="2"/>
    <s v="TRK11448295"/>
    <x v="5"/>
    <x v="2"/>
    <x v="4"/>
    <x v="1000"/>
  </r>
  <r>
    <s v="ORD201006"/>
    <x v="582"/>
    <s v="C27435"/>
    <x v="2"/>
    <x v="0"/>
    <x v="1000"/>
    <x v="458"/>
    <x v="4"/>
    <x v="3"/>
    <s v="TRK91458233"/>
    <x v="0"/>
    <x v="0"/>
    <x v="3"/>
    <x v="1001"/>
  </r>
  <r>
    <s v="ORD201007"/>
    <x v="591"/>
    <s v="C46651"/>
    <x v="0"/>
    <x v="1"/>
    <x v="1001"/>
    <x v="89"/>
    <x v="4"/>
    <x v="4"/>
    <s v="TRK60444502"/>
    <x v="4"/>
    <x v="3"/>
    <x v="3"/>
    <x v="1002"/>
  </r>
  <r>
    <s v="ORD201008"/>
    <x v="620"/>
    <s v="C62557"/>
    <x v="0"/>
    <x v="4"/>
    <x v="1002"/>
    <x v="506"/>
    <x v="4"/>
    <x v="3"/>
    <s v="TRK12742366"/>
    <x v="2"/>
    <x v="1"/>
    <x v="0"/>
    <x v="1003"/>
  </r>
  <r>
    <s v="ORD201009"/>
    <x v="621"/>
    <s v="C54494"/>
    <x v="2"/>
    <x v="1"/>
    <x v="1003"/>
    <x v="386"/>
    <x v="2"/>
    <x v="3"/>
    <s v="TRK95958645"/>
    <x v="7"/>
    <x v="1"/>
    <x v="2"/>
    <x v="1004"/>
  </r>
  <r>
    <s v="ORD201010"/>
    <x v="622"/>
    <s v="C33729"/>
    <x v="0"/>
    <x v="4"/>
    <x v="1004"/>
    <x v="91"/>
    <x v="2"/>
    <x v="1"/>
    <s v="TRK35649833"/>
    <x v="5"/>
    <x v="0"/>
    <x v="2"/>
    <x v="1005"/>
  </r>
  <r>
    <s v="ORD201011"/>
    <x v="623"/>
    <s v="C47823"/>
    <x v="1"/>
    <x v="1"/>
    <x v="1005"/>
    <x v="236"/>
    <x v="1"/>
    <x v="0"/>
    <s v="TRK22271097"/>
    <x v="1"/>
    <x v="2"/>
    <x v="4"/>
    <x v="1006"/>
  </r>
  <r>
    <s v="ORD201012"/>
    <x v="623"/>
    <s v="C84570"/>
    <x v="4"/>
    <x v="3"/>
    <x v="1006"/>
    <x v="266"/>
    <x v="1"/>
    <x v="2"/>
    <s v="TRK12551882"/>
    <x v="5"/>
    <x v="2"/>
    <x v="3"/>
    <x v="1007"/>
  </r>
  <r>
    <s v="ORD201013"/>
    <x v="624"/>
    <s v="C91123"/>
    <x v="5"/>
    <x v="3"/>
    <x v="1007"/>
    <x v="53"/>
    <x v="4"/>
    <x v="1"/>
    <s v="TRK49568409"/>
    <x v="6"/>
    <x v="1"/>
    <x v="3"/>
    <x v="1008"/>
  </r>
  <r>
    <s v="ORD201014"/>
    <x v="389"/>
    <s v="C92548"/>
    <x v="2"/>
    <x v="0"/>
    <x v="1008"/>
    <x v="352"/>
    <x v="0"/>
    <x v="2"/>
    <s v="TRK21682892"/>
    <x v="5"/>
    <x v="1"/>
    <x v="2"/>
    <x v="1009"/>
  </r>
  <r>
    <s v="ORD201015"/>
    <x v="547"/>
    <s v="C97454"/>
    <x v="4"/>
    <x v="1"/>
    <x v="1009"/>
    <x v="428"/>
    <x v="1"/>
    <x v="0"/>
    <s v="TRK73249329"/>
    <x v="7"/>
    <x v="0"/>
    <x v="0"/>
    <x v="1010"/>
  </r>
  <r>
    <s v="ORD201016"/>
    <x v="10"/>
    <s v="C20257"/>
    <x v="2"/>
    <x v="0"/>
    <x v="1010"/>
    <x v="592"/>
    <x v="0"/>
    <x v="3"/>
    <s v="TRK62135578"/>
    <x v="0"/>
    <x v="3"/>
    <x v="2"/>
    <x v="1011"/>
  </r>
  <r>
    <s v="ORD201017"/>
    <x v="625"/>
    <s v="C51694"/>
    <x v="3"/>
    <x v="1"/>
    <x v="1011"/>
    <x v="593"/>
    <x v="3"/>
    <x v="3"/>
    <s v="TRK83122112"/>
    <x v="5"/>
    <x v="1"/>
    <x v="1"/>
    <x v="1012"/>
  </r>
  <r>
    <s v="ORD201018"/>
    <x v="307"/>
    <s v="C77499"/>
    <x v="5"/>
    <x v="4"/>
    <x v="1012"/>
    <x v="594"/>
    <x v="4"/>
    <x v="3"/>
    <s v="TRK20703086"/>
    <x v="1"/>
    <x v="2"/>
    <x v="0"/>
    <x v="1013"/>
  </r>
  <r>
    <s v="ORD201019"/>
    <x v="616"/>
    <s v="C28386"/>
    <x v="6"/>
    <x v="2"/>
    <x v="1013"/>
    <x v="284"/>
    <x v="4"/>
    <x v="2"/>
    <s v="TRK32954229"/>
    <x v="7"/>
    <x v="0"/>
    <x v="1"/>
    <x v="1014"/>
  </r>
  <r>
    <s v="ORD201020"/>
    <x v="181"/>
    <s v="C50211"/>
    <x v="2"/>
    <x v="1"/>
    <x v="1014"/>
    <x v="304"/>
    <x v="1"/>
    <x v="3"/>
    <s v="TRK47787981"/>
    <x v="1"/>
    <x v="0"/>
    <x v="0"/>
    <x v="1015"/>
  </r>
  <r>
    <s v="ORD201021"/>
    <x v="5"/>
    <s v="C74519"/>
    <x v="1"/>
    <x v="4"/>
    <x v="1015"/>
    <x v="551"/>
    <x v="2"/>
    <x v="1"/>
    <s v="TRK97351945"/>
    <x v="4"/>
    <x v="0"/>
    <x v="2"/>
    <x v="1016"/>
  </r>
  <r>
    <s v="ORD201022"/>
    <x v="522"/>
    <s v="C19071"/>
    <x v="2"/>
    <x v="4"/>
    <x v="1016"/>
    <x v="467"/>
    <x v="2"/>
    <x v="0"/>
    <s v="TRK66537096"/>
    <x v="2"/>
    <x v="0"/>
    <x v="1"/>
    <x v="1017"/>
  </r>
  <r>
    <s v="ORD201023"/>
    <x v="296"/>
    <s v="C65251"/>
    <x v="5"/>
    <x v="0"/>
    <x v="1017"/>
    <x v="83"/>
    <x v="4"/>
    <x v="0"/>
    <s v="TRK32059025"/>
    <x v="8"/>
    <x v="2"/>
    <x v="1"/>
    <x v="1018"/>
  </r>
  <r>
    <s v="ORD201024"/>
    <x v="412"/>
    <s v="C90612"/>
    <x v="3"/>
    <x v="4"/>
    <x v="1018"/>
    <x v="359"/>
    <x v="4"/>
    <x v="4"/>
    <s v="TRK93022878"/>
    <x v="0"/>
    <x v="1"/>
    <x v="3"/>
    <x v="1019"/>
  </r>
  <r>
    <s v="ORD201025"/>
    <x v="271"/>
    <s v="C28406"/>
    <x v="3"/>
    <x v="2"/>
    <x v="1019"/>
    <x v="138"/>
    <x v="3"/>
    <x v="3"/>
    <s v="TRK98841457"/>
    <x v="7"/>
    <x v="1"/>
    <x v="0"/>
    <x v="1020"/>
  </r>
  <r>
    <s v="ORD201026"/>
    <x v="31"/>
    <s v="C55454"/>
    <x v="0"/>
    <x v="2"/>
    <x v="1020"/>
    <x v="111"/>
    <x v="1"/>
    <x v="3"/>
    <s v="TRK13281370"/>
    <x v="9"/>
    <x v="3"/>
    <x v="3"/>
    <x v="1021"/>
  </r>
  <r>
    <s v="ORD201027"/>
    <x v="626"/>
    <s v="C93467"/>
    <x v="5"/>
    <x v="3"/>
    <x v="1021"/>
    <x v="498"/>
    <x v="4"/>
    <x v="2"/>
    <s v="TRK77377373"/>
    <x v="5"/>
    <x v="2"/>
    <x v="4"/>
    <x v="1022"/>
  </r>
  <r>
    <s v="ORD201028"/>
    <x v="96"/>
    <s v="C60042"/>
    <x v="6"/>
    <x v="3"/>
    <x v="1022"/>
    <x v="200"/>
    <x v="4"/>
    <x v="1"/>
    <s v="TRK84651559"/>
    <x v="5"/>
    <x v="2"/>
    <x v="0"/>
    <x v="1023"/>
  </r>
  <r>
    <s v="ORD201029"/>
    <x v="627"/>
    <s v="C44733"/>
    <x v="6"/>
    <x v="2"/>
    <x v="1023"/>
    <x v="578"/>
    <x v="2"/>
    <x v="0"/>
    <s v="TRK41500198"/>
    <x v="4"/>
    <x v="1"/>
    <x v="2"/>
    <x v="1024"/>
  </r>
  <r>
    <s v="ORD201030"/>
    <x v="276"/>
    <s v="C61773"/>
    <x v="1"/>
    <x v="3"/>
    <x v="1024"/>
    <x v="595"/>
    <x v="2"/>
    <x v="3"/>
    <s v="TRK12936357"/>
    <x v="5"/>
    <x v="3"/>
    <x v="2"/>
    <x v="1025"/>
  </r>
  <r>
    <s v="ORD201031"/>
    <x v="285"/>
    <s v="C59183"/>
    <x v="1"/>
    <x v="0"/>
    <x v="1025"/>
    <x v="596"/>
    <x v="0"/>
    <x v="4"/>
    <s v="TRK18129706"/>
    <x v="2"/>
    <x v="0"/>
    <x v="2"/>
    <x v="1026"/>
  </r>
  <r>
    <s v="ORD201032"/>
    <x v="197"/>
    <s v="C26188"/>
    <x v="3"/>
    <x v="2"/>
    <x v="1026"/>
    <x v="243"/>
    <x v="1"/>
    <x v="3"/>
    <s v="TRK61634201"/>
    <x v="5"/>
    <x v="3"/>
    <x v="1"/>
    <x v="1027"/>
  </r>
  <r>
    <s v="ORD201033"/>
    <x v="628"/>
    <s v="C20338"/>
    <x v="0"/>
    <x v="2"/>
    <x v="1027"/>
    <x v="597"/>
    <x v="3"/>
    <x v="3"/>
    <s v="TRK30654048"/>
    <x v="7"/>
    <x v="1"/>
    <x v="1"/>
    <x v="1028"/>
  </r>
  <r>
    <s v="ORD201034"/>
    <x v="452"/>
    <s v="C84524"/>
    <x v="4"/>
    <x v="3"/>
    <x v="1028"/>
    <x v="598"/>
    <x v="4"/>
    <x v="1"/>
    <s v="TRK76751888"/>
    <x v="2"/>
    <x v="1"/>
    <x v="3"/>
    <x v="1029"/>
  </r>
  <r>
    <s v="ORD201035"/>
    <x v="629"/>
    <s v="C70315"/>
    <x v="5"/>
    <x v="3"/>
    <x v="1029"/>
    <x v="599"/>
    <x v="4"/>
    <x v="1"/>
    <s v="TRK97732085"/>
    <x v="3"/>
    <x v="2"/>
    <x v="1"/>
    <x v="1030"/>
  </r>
  <r>
    <s v="ORD201036"/>
    <x v="583"/>
    <s v="C98278"/>
    <x v="1"/>
    <x v="4"/>
    <x v="1030"/>
    <x v="64"/>
    <x v="3"/>
    <x v="0"/>
    <s v="TRK49684737"/>
    <x v="2"/>
    <x v="0"/>
    <x v="3"/>
    <x v="1031"/>
  </r>
  <r>
    <s v="ORD201037"/>
    <x v="141"/>
    <s v="C32347"/>
    <x v="4"/>
    <x v="2"/>
    <x v="1031"/>
    <x v="465"/>
    <x v="4"/>
    <x v="4"/>
    <s v="TRK54073964"/>
    <x v="9"/>
    <x v="0"/>
    <x v="4"/>
    <x v="1032"/>
  </r>
  <r>
    <s v="ORD201038"/>
    <x v="175"/>
    <s v="C77961"/>
    <x v="2"/>
    <x v="4"/>
    <x v="1032"/>
    <x v="600"/>
    <x v="0"/>
    <x v="2"/>
    <s v="TRK28969024"/>
    <x v="3"/>
    <x v="2"/>
    <x v="3"/>
    <x v="1033"/>
  </r>
  <r>
    <s v="ORD201039"/>
    <x v="164"/>
    <s v="C49137"/>
    <x v="6"/>
    <x v="1"/>
    <x v="1033"/>
    <x v="601"/>
    <x v="2"/>
    <x v="1"/>
    <s v="TRK79362428"/>
    <x v="7"/>
    <x v="3"/>
    <x v="0"/>
    <x v="1034"/>
  </r>
  <r>
    <s v="ORD201040"/>
    <x v="375"/>
    <s v="C13169"/>
    <x v="2"/>
    <x v="2"/>
    <x v="1034"/>
    <x v="407"/>
    <x v="0"/>
    <x v="3"/>
    <s v="TRK66288666"/>
    <x v="3"/>
    <x v="1"/>
    <x v="4"/>
    <x v="1035"/>
  </r>
  <r>
    <s v="ORD201041"/>
    <x v="91"/>
    <s v="C21167"/>
    <x v="0"/>
    <x v="3"/>
    <x v="1035"/>
    <x v="198"/>
    <x v="3"/>
    <x v="0"/>
    <s v="TRK97737564"/>
    <x v="6"/>
    <x v="3"/>
    <x v="4"/>
    <x v="1036"/>
  </r>
  <r>
    <s v="ORD201042"/>
    <x v="65"/>
    <s v="C59724"/>
    <x v="2"/>
    <x v="1"/>
    <x v="1036"/>
    <x v="271"/>
    <x v="0"/>
    <x v="0"/>
    <s v="TRK67878272"/>
    <x v="7"/>
    <x v="3"/>
    <x v="3"/>
    <x v="1037"/>
  </r>
  <r>
    <s v="ORD201043"/>
    <x v="630"/>
    <s v="C43965"/>
    <x v="2"/>
    <x v="1"/>
    <x v="1037"/>
    <x v="581"/>
    <x v="3"/>
    <x v="0"/>
    <s v="TRK94346739"/>
    <x v="3"/>
    <x v="2"/>
    <x v="0"/>
    <x v="1038"/>
  </r>
  <r>
    <s v="ORD201044"/>
    <x v="450"/>
    <s v="C63018"/>
    <x v="4"/>
    <x v="2"/>
    <x v="1038"/>
    <x v="602"/>
    <x v="2"/>
    <x v="3"/>
    <s v="TRK52335337"/>
    <x v="4"/>
    <x v="1"/>
    <x v="1"/>
    <x v="1039"/>
  </r>
  <r>
    <s v="ORD201045"/>
    <x v="28"/>
    <s v="C11893"/>
    <x v="5"/>
    <x v="0"/>
    <x v="1039"/>
    <x v="603"/>
    <x v="3"/>
    <x v="2"/>
    <s v="TRK72012758"/>
    <x v="0"/>
    <x v="2"/>
    <x v="2"/>
    <x v="1040"/>
  </r>
  <r>
    <s v="ORD201046"/>
    <x v="550"/>
    <s v="C85421"/>
    <x v="2"/>
    <x v="4"/>
    <x v="1040"/>
    <x v="604"/>
    <x v="1"/>
    <x v="0"/>
    <s v="TRK16524006"/>
    <x v="4"/>
    <x v="3"/>
    <x v="0"/>
    <x v="1041"/>
  </r>
  <r>
    <s v="ORD201047"/>
    <x v="467"/>
    <s v="C81726"/>
    <x v="3"/>
    <x v="3"/>
    <x v="1041"/>
    <x v="605"/>
    <x v="3"/>
    <x v="0"/>
    <s v="TRK69872994"/>
    <x v="5"/>
    <x v="3"/>
    <x v="1"/>
    <x v="1042"/>
  </r>
  <r>
    <s v="ORD201048"/>
    <x v="82"/>
    <s v="C57601"/>
    <x v="0"/>
    <x v="3"/>
    <x v="1042"/>
    <x v="606"/>
    <x v="0"/>
    <x v="0"/>
    <s v="TRK21153699"/>
    <x v="6"/>
    <x v="2"/>
    <x v="4"/>
    <x v="1043"/>
  </r>
  <r>
    <s v="ORD201049"/>
    <x v="408"/>
    <s v="C60575"/>
    <x v="6"/>
    <x v="0"/>
    <x v="1043"/>
    <x v="20"/>
    <x v="2"/>
    <x v="0"/>
    <s v="TRK44468232"/>
    <x v="5"/>
    <x v="2"/>
    <x v="0"/>
    <x v="1044"/>
  </r>
  <r>
    <s v="ORD201050"/>
    <x v="38"/>
    <s v="C70659"/>
    <x v="5"/>
    <x v="0"/>
    <x v="1044"/>
    <x v="395"/>
    <x v="1"/>
    <x v="2"/>
    <s v="TRK49663597"/>
    <x v="6"/>
    <x v="2"/>
    <x v="0"/>
    <x v="1045"/>
  </r>
  <r>
    <s v="ORD201051"/>
    <x v="376"/>
    <s v="C35043"/>
    <x v="0"/>
    <x v="0"/>
    <x v="1045"/>
    <x v="607"/>
    <x v="3"/>
    <x v="0"/>
    <s v="TRK65097450"/>
    <x v="3"/>
    <x v="1"/>
    <x v="3"/>
    <x v="1046"/>
  </r>
  <r>
    <s v="ORD201052"/>
    <x v="631"/>
    <s v="C12301"/>
    <x v="2"/>
    <x v="2"/>
    <x v="1046"/>
    <x v="608"/>
    <x v="1"/>
    <x v="0"/>
    <s v="TRK25145796"/>
    <x v="9"/>
    <x v="3"/>
    <x v="4"/>
    <x v="1047"/>
  </r>
  <r>
    <s v="ORD201053"/>
    <x v="632"/>
    <s v="C32798"/>
    <x v="1"/>
    <x v="1"/>
    <x v="1047"/>
    <x v="574"/>
    <x v="1"/>
    <x v="4"/>
    <s v="TRK37375451"/>
    <x v="7"/>
    <x v="0"/>
    <x v="0"/>
    <x v="1048"/>
  </r>
  <r>
    <s v="ORD201054"/>
    <x v="633"/>
    <s v="C42949"/>
    <x v="4"/>
    <x v="2"/>
    <x v="1048"/>
    <x v="80"/>
    <x v="0"/>
    <x v="3"/>
    <s v="TRK46415143"/>
    <x v="1"/>
    <x v="3"/>
    <x v="0"/>
    <x v="1049"/>
  </r>
  <r>
    <s v="ORD201055"/>
    <x v="5"/>
    <s v="C10787"/>
    <x v="0"/>
    <x v="3"/>
    <x v="1049"/>
    <x v="407"/>
    <x v="0"/>
    <x v="3"/>
    <s v="TRK91512567"/>
    <x v="6"/>
    <x v="3"/>
    <x v="2"/>
    <x v="1050"/>
  </r>
  <r>
    <s v="ORD201056"/>
    <x v="280"/>
    <s v="C26152"/>
    <x v="1"/>
    <x v="1"/>
    <x v="1050"/>
    <x v="156"/>
    <x v="1"/>
    <x v="4"/>
    <s v="TRK49382455"/>
    <x v="5"/>
    <x v="0"/>
    <x v="1"/>
    <x v="1051"/>
  </r>
  <r>
    <s v="ORD201057"/>
    <x v="634"/>
    <s v="C46210"/>
    <x v="5"/>
    <x v="4"/>
    <x v="1051"/>
    <x v="153"/>
    <x v="0"/>
    <x v="0"/>
    <s v="TRK81611937"/>
    <x v="1"/>
    <x v="3"/>
    <x v="3"/>
    <x v="1052"/>
  </r>
  <r>
    <s v="ORD201058"/>
    <x v="102"/>
    <s v="C32943"/>
    <x v="6"/>
    <x v="1"/>
    <x v="1052"/>
    <x v="230"/>
    <x v="2"/>
    <x v="2"/>
    <s v="TRK26949106"/>
    <x v="7"/>
    <x v="1"/>
    <x v="0"/>
    <x v="1053"/>
  </r>
  <r>
    <s v="ORD201059"/>
    <x v="491"/>
    <s v="C73629"/>
    <x v="6"/>
    <x v="2"/>
    <x v="1053"/>
    <x v="609"/>
    <x v="2"/>
    <x v="2"/>
    <s v="TRK11492924"/>
    <x v="1"/>
    <x v="3"/>
    <x v="0"/>
    <x v="1054"/>
  </r>
  <r>
    <s v="ORD201060"/>
    <x v="635"/>
    <s v="C38024"/>
    <x v="2"/>
    <x v="1"/>
    <x v="1054"/>
    <x v="292"/>
    <x v="4"/>
    <x v="0"/>
    <s v="TRK93370912"/>
    <x v="0"/>
    <x v="3"/>
    <x v="1"/>
    <x v="1055"/>
  </r>
  <r>
    <s v="ORD201061"/>
    <x v="636"/>
    <s v="C25445"/>
    <x v="5"/>
    <x v="0"/>
    <x v="1055"/>
    <x v="32"/>
    <x v="4"/>
    <x v="0"/>
    <s v="TRK12402431"/>
    <x v="2"/>
    <x v="1"/>
    <x v="4"/>
    <x v="1056"/>
  </r>
  <r>
    <s v="ORD201062"/>
    <x v="421"/>
    <s v="C13501"/>
    <x v="3"/>
    <x v="0"/>
    <x v="1056"/>
    <x v="266"/>
    <x v="3"/>
    <x v="1"/>
    <s v="TRK65149372"/>
    <x v="3"/>
    <x v="2"/>
    <x v="3"/>
    <x v="1057"/>
  </r>
  <r>
    <s v="ORD201063"/>
    <x v="83"/>
    <s v="C42108"/>
    <x v="6"/>
    <x v="1"/>
    <x v="1057"/>
    <x v="154"/>
    <x v="2"/>
    <x v="0"/>
    <s v="TRK58407918"/>
    <x v="3"/>
    <x v="1"/>
    <x v="1"/>
    <x v="1058"/>
  </r>
  <r>
    <s v="ORD201064"/>
    <x v="637"/>
    <s v="C32121"/>
    <x v="5"/>
    <x v="3"/>
    <x v="1058"/>
    <x v="236"/>
    <x v="4"/>
    <x v="2"/>
    <s v="TRK96074264"/>
    <x v="6"/>
    <x v="1"/>
    <x v="1"/>
    <x v="1059"/>
  </r>
  <r>
    <s v="ORD201065"/>
    <x v="638"/>
    <s v="C47778"/>
    <x v="4"/>
    <x v="0"/>
    <x v="1059"/>
    <x v="336"/>
    <x v="0"/>
    <x v="3"/>
    <s v="TRK79504329"/>
    <x v="0"/>
    <x v="0"/>
    <x v="1"/>
    <x v="1060"/>
  </r>
  <r>
    <s v="ORD201066"/>
    <x v="639"/>
    <s v="C10791"/>
    <x v="6"/>
    <x v="2"/>
    <x v="1060"/>
    <x v="468"/>
    <x v="0"/>
    <x v="1"/>
    <s v="TRK20321248"/>
    <x v="3"/>
    <x v="0"/>
    <x v="0"/>
    <x v="1061"/>
  </r>
  <r>
    <s v="ORD201067"/>
    <x v="640"/>
    <s v="C78959"/>
    <x v="1"/>
    <x v="1"/>
    <x v="1061"/>
    <x v="65"/>
    <x v="1"/>
    <x v="2"/>
    <s v="TRK37426359"/>
    <x v="7"/>
    <x v="2"/>
    <x v="0"/>
    <x v="1062"/>
  </r>
  <r>
    <s v="ORD201068"/>
    <x v="240"/>
    <s v="C29914"/>
    <x v="5"/>
    <x v="2"/>
    <x v="871"/>
    <x v="610"/>
    <x v="0"/>
    <x v="0"/>
    <s v="TRK22073506"/>
    <x v="7"/>
    <x v="0"/>
    <x v="1"/>
    <x v="1063"/>
  </r>
  <r>
    <s v="ORD201069"/>
    <x v="641"/>
    <s v="C70506"/>
    <x v="0"/>
    <x v="2"/>
    <x v="1062"/>
    <x v="207"/>
    <x v="3"/>
    <x v="2"/>
    <s v="TRK12518384"/>
    <x v="1"/>
    <x v="2"/>
    <x v="3"/>
    <x v="1064"/>
  </r>
  <r>
    <s v="ORD201070"/>
    <x v="605"/>
    <s v="C46873"/>
    <x v="6"/>
    <x v="3"/>
    <x v="1063"/>
    <x v="75"/>
    <x v="0"/>
    <x v="4"/>
    <s v="TRK10926575"/>
    <x v="5"/>
    <x v="2"/>
    <x v="2"/>
    <x v="1065"/>
  </r>
  <r>
    <s v="ORD201071"/>
    <x v="53"/>
    <s v="C94037"/>
    <x v="1"/>
    <x v="1"/>
    <x v="1064"/>
    <x v="307"/>
    <x v="4"/>
    <x v="0"/>
    <s v="TRK47536985"/>
    <x v="7"/>
    <x v="2"/>
    <x v="4"/>
    <x v="1066"/>
  </r>
  <r>
    <s v="ORD201072"/>
    <x v="297"/>
    <s v="C88644"/>
    <x v="0"/>
    <x v="2"/>
    <x v="1065"/>
    <x v="225"/>
    <x v="3"/>
    <x v="1"/>
    <s v="TRK14900878"/>
    <x v="4"/>
    <x v="0"/>
    <x v="1"/>
    <x v="1067"/>
  </r>
  <r>
    <s v="ORD201073"/>
    <x v="642"/>
    <s v="C69471"/>
    <x v="2"/>
    <x v="3"/>
    <x v="1066"/>
    <x v="221"/>
    <x v="0"/>
    <x v="2"/>
    <s v="TRK11107152"/>
    <x v="4"/>
    <x v="2"/>
    <x v="3"/>
    <x v="1068"/>
  </r>
  <r>
    <s v="ORD201074"/>
    <x v="451"/>
    <s v="C21437"/>
    <x v="1"/>
    <x v="2"/>
    <x v="1067"/>
    <x v="611"/>
    <x v="1"/>
    <x v="2"/>
    <s v="TRK81624772"/>
    <x v="4"/>
    <x v="2"/>
    <x v="4"/>
    <x v="1069"/>
  </r>
  <r>
    <s v="ORD201075"/>
    <x v="169"/>
    <s v="C40949"/>
    <x v="0"/>
    <x v="1"/>
    <x v="1068"/>
    <x v="181"/>
    <x v="0"/>
    <x v="3"/>
    <s v="TRK43066749"/>
    <x v="0"/>
    <x v="3"/>
    <x v="0"/>
    <x v="1070"/>
  </r>
  <r>
    <s v="ORD201076"/>
    <x v="20"/>
    <s v="C99116"/>
    <x v="5"/>
    <x v="3"/>
    <x v="1069"/>
    <x v="595"/>
    <x v="4"/>
    <x v="0"/>
    <s v="TRK52711973"/>
    <x v="5"/>
    <x v="2"/>
    <x v="1"/>
    <x v="1071"/>
  </r>
  <r>
    <s v="ORD201077"/>
    <x v="456"/>
    <s v="C57861"/>
    <x v="4"/>
    <x v="4"/>
    <x v="1070"/>
    <x v="107"/>
    <x v="2"/>
    <x v="1"/>
    <s v="TRK47775217"/>
    <x v="2"/>
    <x v="0"/>
    <x v="1"/>
    <x v="1072"/>
  </r>
  <r>
    <s v="ORD201078"/>
    <x v="168"/>
    <s v="C62627"/>
    <x v="6"/>
    <x v="2"/>
    <x v="1071"/>
    <x v="27"/>
    <x v="1"/>
    <x v="2"/>
    <s v="TRK90060232"/>
    <x v="4"/>
    <x v="3"/>
    <x v="2"/>
    <x v="1073"/>
  </r>
  <r>
    <s v="ORD201079"/>
    <x v="643"/>
    <s v="C89979"/>
    <x v="1"/>
    <x v="0"/>
    <x v="1072"/>
    <x v="570"/>
    <x v="3"/>
    <x v="3"/>
    <s v="TRK99055909"/>
    <x v="2"/>
    <x v="2"/>
    <x v="2"/>
    <x v="1074"/>
  </r>
  <r>
    <s v="ORD201080"/>
    <x v="325"/>
    <s v="C70613"/>
    <x v="5"/>
    <x v="0"/>
    <x v="1073"/>
    <x v="612"/>
    <x v="3"/>
    <x v="3"/>
    <s v="TRK33140293"/>
    <x v="0"/>
    <x v="2"/>
    <x v="1"/>
    <x v="1075"/>
  </r>
  <r>
    <s v="ORD201081"/>
    <x v="453"/>
    <s v="C55636"/>
    <x v="0"/>
    <x v="3"/>
    <x v="1074"/>
    <x v="294"/>
    <x v="2"/>
    <x v="4"/>
    <s v="TRK85897054"/>
    <x v="3"/>
    <x v="1"/>
    <x v="4"/>
    <x v="1076"/>
  </r>
  <r>
    <s v="ORD201082"/>
    <x v="426"/>
    <s v="C96595"/>
    <x v="3"/>
    <x v="4"/>
    <x v="1075"/>
    <x v="601"/>
    <x v="0"/>
    <x v="4"/>
    <s v="TRK59779174"/>
    <x v="3"/>
    <x v="0"/>
    <x v="2"/>
    <x v="1077"/>
  </r>
  <r>
    <s v="ORD201083"/>
    <x v="644"/>
    <s v="C68508"/>
    <x v="3"/>
    <x v="2"/>
    <x v="1076"/>
    <x v="30"/>
    <x v="2"/>
    <x v="3"/>
    <s v="TRK98960285"/>
    <x v="1"/>
    <x v="0"/>
    <x v="2"/>
    <x v="1078"/>
  </r>
  <r>
    <s v="ORD201084"/>
    <x v="124"/>
    <s v="C45175"/>
    <x v="1"/>
    <x v="2"/>
    <x v="1077"/>
    <x v="35"/>
    <x v="3"/>
    <x v="4"/>
    <s v="TRK41792296"/>
    <x v="9"/>
    <x v="3"/>
    <x v="0"/>
    <x v="1079"/>
  </r>
  <r>
    <s v="ORD201085"/>
    <x v="54"/>
    <s v="C28049"/>
    <x v="4"/>
    <x v="1"/>
    <x v="1078"/>
    <x v="135"/>
    <x v="0"/>
    <x v="0"/>
    <s v="TRK91426444"/>
    <x v="0"/>
    <x v="3"/>
    <x v="0"/>
    <x v="1080"/>
  </r>
  <r>
    <s v="ORD201086"/>
    <x v="475"/>
    <s v="C46967"/>
    <x v="2"/>
    <x v="1"/>
    <x v="1079"/>
    <x v="613"/>
    <x v="1"/>
    <x v="4"/>
    <s v="TRK91439791"/>
    <x v="3"/>
    <x v="3"/>
    <x v="0"/>
    <x v="1081"/>
  </r>
  <r>
    <s v="ORD201087"/>
    <x v="411"/>
    <s v="C84134"/>
    <x v="5"/>
    <x v="3"/>
    <x v="1080"/>
    <x v="614"/>
    <x v="1"/>
    <x v="0"/>
    <s v="TRK48659380"/>
    <x v="2"/>
    <x v="0"/>
    <x v="0"/>
    <x v="1082"/>
  </r>
  <r>
    <s v="ORD201088"/>
    <x v="115"/>
    <s v="C49831"/>
    <x v="6"/>
    <x v="4"/>
    <x v="1081"/>
    <x v="615"/>
    <x v="3"/>
    <x v="0"/>
    <s v="TRK21232601"/>
    <x v="5"/>
    <x v="3"/>
    <x v="0"/>
    <x v="1083"/>
  </r>
  <r>
    <s v="ORD201089"/>
    <x v="175"/>
    <s v="C13324"/>
    <x v="2"/>
    <x v="1"/>
    <x v="1082"/>
    <x v="63"/>
    <x v="3"/>
    <x v="0"/>
    <s v="TRK66967997"/>
    <x v="7"/>
    <x v="2"/>
    <x v="0"/>
    <x v="1084"/>
  </r>
  <r>
    <s v="ORD201090"/>
    <x v="641"/>
    <s v="C61225"/>
    <x v="0"/>
    <x v="1"/>
    <x v="1083"/>
    <x v="31"/>
    <x v="3"/>
    <x v="2"/>
    <s v="TRK37022954"/>
    <x v="5"/>
    <x v="2"/>
    <x v="0"/>
    <x v="1085"/>
  </r>
  <r>
    <s v="ORD201091"/>
    <x v="192"/>
    <s v="C16400"/>
    <x v="5"/>
    <x v="4"/>
    <x v="1084"/>
    <x v="329"/>
    <x v="0"/>
    <x v="4"/>
    <s v="TRK57771859"/>
    <x v="4"/>
    <x v="2"/>
    <x v="2"/>
    <x v="1086"/>
  </r>
  <r>
    <s v="ORD201092"/>
    <x v="531"/>
    <s v="C38642"/>
    <x v="5"/>
    <x v="0"/>
    <x v="1085"/>
    <x v="29"/>
    <x v="0"/>
    <x v="3"/>
    <s v="TRK47744396"/>
    <x v="5"/>
    <x v="3"/>
    <x v="2"/>
    <x v="1087"/>
  </r>
  <r>
    <s v="ORD201093"/>
    <x v="308"/>
    <s v="C86773"/>
    <x v="1"/>
    <x v="3"/>
    <x v="1086"/>
    <x v="616"/>
    <x v="3"/>
    <x v="2"/>
    <s v="TRK22612240"/>
    <x v="6"/>
    <x v="1"/>
    <x v="0"/>
    <x v="1088"/>
  </r>
  <r>
    <s v="ORD201094"/>
    <x v="342"/>
    <s v="C66093"/>
    <x v="4"/>
    <x v="3"/>
    <x v="1087"/>
    <x v="617"/>
    <x v="2"/>
    <x v="0"/>
    <s v="TRK54950785"/>
    <x v="5"/>
    <x v="0"/>
    <x v="0"/>
    <x v="1089"/>
  </r>
  <r>
    <s v="ORD201095"/>
    <x v="234"/>
    <s v="C33051"/>
    <x v="1"/>
    <x v="1"/>
    <x v="1088"/>
    <x v="618"/>
    <x v="1"/>
    <x v="3"/>
    <s v="TRK92929755"/>
    <x v="7"/>
    <x v="0"/>
    <x v="2"/>
    <x v="1090"/>
  </r>
  <r>
    <s v="ORD201096"/>
    <x v="120"/>
    <s v="C18169"/>
    <x v="2"/>
    <x v="1"/>
    <x v="1089"/>
    <x v="619"/>
    <x v="0"/>
    <x v="2"/>
    <s v="TRK49482923"/>
    <x v="7"/>
    <x v="2"/>
    <x v="3"/>
    <x v="1091"/>
  </r>
  <r>
    <s v="ORD201097"/>
    <x v="645"/>
    <s v="C81370"/>
    <x v="0"/>
    <x v="0"/>
    <x v="1090"/>
    <x v="620"/>
    <x v="3"/>
    <x v="0"/>
    <s v="TRK99682998"/>
    <x v="0"/>
    <x v="3"/>
    <x v="4"/>
    <x v="1092"/>
  </r>
  <r>
    <s v="ORD201098"/>
    <x v="646"/>
    <s v="C91103"/>
    <x v="0"/>
    <x v="3"/>
    <x v="1091"/>
    <x v="621"/>
    <x v="2"/>
    <x v="3"/>
    <s v="TRK91653000"/>
    <x v="0"/>
    <x v="2"/>
    <x v="2"/>
    <x v="1093"/>
  </r>
  <r>
    <s v="ORD201099"/>
    <x v="556"/>
    <s v="C21953"/>
    <x v="5"/>
    <x v="1"/>
    <x v="1092"/>
    <x v="314"/>
    <x v="4"/>
    <x v="1"/>
    <s v="TRK60774796"/>
    <x v="1"/>
    <x v="1"/>
    <x v="2"/>
    <x v="1094"/>
  </r>
  <r>
    <s v="ORD201100"/>
    <x v="538"/>
    <s v="C15146"/>
    <x v="5"/>
    <x v="0"/>
    <x v="1093"/>
    <x v="622"/>
    <x v="0"/>
    <x v="1"/>
    <s v="TRK79790530"/>
    <x v="5"/>
    <x v="3"/>
    <x v="0"/>
    <x v="1095"/>
  </r>
  <r>
    <s v="ORD201101"/>
    <x v="647"/>
    <s v="C43546"/>
    <x v="0"/>
    <x v="4"/>
    <x v="1094"/>
    <x v="8"/>
    <x v="4"/>
    <x v="4"/>
    <s v="TRK85871121"/>
    <x v="4"/>
    <x v="0"/>
    <x v="2"/>
    <x v="1096"/>
  </r>
  <r>
    <s v="ORD201102"/>
    <x v="561"/>
    <s v="C98474"/>
    <x v="3"/>
    <x v="3"/>
    <x v="1095"/>
    <x v="494"/>
    <x v="0"/>
    <x v="0"/>
    <s v="TRK86192984"/>
    <x v="2"/>
    <x v="2"/>
    <x v="0"/>
    <x v="1097"/>
  </r>
  <r>
    <s v="ORD201103"/>
    <x v="648"/>
    <s v="C90292"/>
    <x v="5"/>
    <x v="3"/>
    <x v="1096"/>
    <x v="67"/>
    <x v="1"/>
    <x v="3"/>
    <s v="TRK26270357"/>
    <x v="3"/>
    <x v="2"/>
    <x v="4"/>
    <x v="1098"/>
  </r>
  <r>
    <s v="ORD201104"/>
    <x v="568"/>
    <s v="C17075"/>
    <x v="2"/>
    <x v="3"/>
    <x v="1097"/>
    <x v="623"/>
    <x v="1"/>
    <x v="0"/>
    <s v="TRK63547510"/>
    <x v="2"/>
    <x v="2"/>
    <x v="0"/>
    <x v="1099"/>
  </r>
  <r>
    <s v="ORD201105"/>
    <x v="649"/>
    <s v="C12487"/>
    <x v="2"/>
    <x v="4"/>
    <x v="1098"/>
    <x v="234"/>
    <x v="3"/>
    <x v="1"/>
    <s v="TRK23324770"/>
    <x v="1"/>
    <x v="1"/>
    <x v="4"/>
    <x v="1100"/>
  </r>
  <r>
    <s v="ORD201106"/>
    <x v="255"/>
    <s v="C34555"/>
    <x v="3"/>
    <x v="2"/>
    <x v="1099"/>
    <x v="13"/>
    <x v="4"/>
    <x v="1"/>
    <s v="TRK72859458"/>
    <x v="5"/>
    <x v="0"/>
    <x v="3"/>
    <x v="1101"/>
  </r>
  <r>
    <s v="ORD201107"/>
    <x v="233"/>
    <s v="C25110"/>
    <x v="2"/>
    <x v="1"/>
    <x v="1100"/>
    <x v="429"/>
    <x v="1"/>
    <x v="1"/>
    <s v="TRK80963328"/>
    <x v="4"/>
    <x v="0"/>
    <x v="4"/>
    <x v="1102"/>
  </r>
  <r>
    <s v="ORD201108"/>
    <x v="650"/>
    <s v="C35136"/>
    <x v="5"/>
    <x v="2"/>
    <x v="1101"/>
    <x v="624"/>
    <x v="1"/>
    <x v="1"/>
    <s v="TRK49753703"/>
    <x v="3"/>
    <x v="3"/>
    <x v="0"/>
    <x v="1103"/>
  </r>
  <r>
    <s v="ORD201109"/>
    <x v="651"/>
    <s v="C62277"/>
    <x v="4"/>
    <x v="3"/>
    <x v="1102"/>
    <x v="358"/>
    <x v="3"/>
    <x v="2"/>
    <s v="TRK32026174"/>
    <x v="0"/>
    <x v="0"/>
    <x v="0"/>
    <x v="1104"/>
  </r>
  <r>
    <s v="ORD201110"/>
    <x v="402"/>
    <s v="C12472"/>
    <x v="3"/>
    <x v="4"/>
    <x v="1103"/>
    <x v="33"/>
    <x v="2"/>
    <x v="0"/>
    <s v="TRK36103184"/>
    <x v="1"/>
    <x v="0"/>
    <x v="2"/>
    <x v="1105"/>
  </r>
  <r>
    <s v="ORD201111"/>
    <x v="306"/>
    <s v="C24047"/>
    <x v="0"/>
    <x v="3"/>
    <x v="1104"/>
    <x v="625"/>
    <x v="1"/>
    <x v="1"/>
    <s v="TRK91338580"/>
    <x v="6"/>
    <x v="1"/>
    <x v="0"/>
    <x v="1106"/>
  </r>
  <r>
    <s v="ORD201112"/>
    <x v="652"/>
    <s v="C76929"/>
    <x v="6"/>
    <x v="2"/>
    <x v="1105"/>
    <x v="116"/>
    <x v="1"/>
    <x v="3"/>
    <s v="TRK80694400"/>
    <x v="9"/>
    <x v="3"/>
    <x v="0"/>
    <x v="1107"/>
  </r>
  <r>
    <s v="ORD201113"/>
    <x v="111"/>
    <s v="C52914"/>
    <x v="6"/>
    <x v="3"/>
    <x v="1106"/>
    <x v="572"/>
    <x v="4"/>
    <x v="3"/>
    <s v="TRK80819053"/>
    <x v="2"/>
    <x v="2"/>
    <x v="4"/>
    <x v="1108"/>
  </r>
  <r>
    <s v="ORD201114"/>
    <x v="653"/>
    <s v="C55164"/>
    <x v="2"/>
    <x v="4"/>
    <x v="1107"/>
    <x v="181"/>
    <x v="3"/>
    <x v="1"/>
    <s v="TRK79610967"/>
    <x v="1"/>
    <x v="2"/>
    <x v="4"/>
    <x v="1109"/>
  </r>
  <r>
    <s v="ORD201115"/>
    <x v="126"/>
    <s v="C70426"/>
    <x v="5"/>
    <x v="1"/>
    <x v="1108"/>
    <x v="203"/>
    <x v="1"/>
    <x v="2"/>
    <s v="TRK89687816"/>
    <x v="1"/>
    <x v="2"/>
    <x v="4"/>
    <x v="1110"/>
  </r>
  <r>
    <s v="ORD201116"/>
    <x v="612"/>
    <s v="C69149"/>
    <x v="4"/>
    <x v="1"/>
    <x v="1109"/>
    <x v="203"/>
    <x v="2"/>
    <x v="3"/>
    <s v="TRK61265132"/>
    <x v="0"/>
    <x v="3"/>
    <x v="3"/>
    <x v="1111"/>
  </r>
  <r>
    <s v="ORD201117"/>
    <x v="199"/>
    <s v="C78684"/>
    <x v="3"/>
    <x v="4"/>
    <x v="1110"/>
    <x v="324"/>
    <x v="3"/>
    <x v="0"/>
    <s v="TRK95779073"/>
    <x v="2"/>
    <x v="3"/>
    <x v="4"/>
    <x v="1112"/>
  </r>
  <r>
    <s v="ORD201118"/>
    <x v="75"/>
    <s v="C58168"/>
    <x v="1"/>
    <x v="4"/>
    <x v="1111"/>
    <x v="319"/>
    <x v="2"/>
    <x v="2"/>
    <s v="TRK99102265"/>
    <x v="4"/>
    <x v="2"/>
    <x v="2"/>
    <x v="1113"/>
  </r>
  <r>
    <s v="ORD201119"/>
    <x v="167"/>
    <s v="C99024"/>
    <x v="5"/>
    <x v="2"/>
    <x v="1112"/>
    <x v="224"/>
    <x v="2"/>
    <x v="3"/>
    <s v="TRK24675988"/>
    <x v="9"/>
    <x v="1"/>
    <x v="2"/>
    <x v="1114"/>
  </r>
  <r>
    <s v="ORD201120"/>
    <x v="400"/>
    <s v="C22919"/>
    <x v="2"/>
    <x v="2"/>
    <x v="1113"/>
    <x v="40"/>
    <x v="1"/>
    <x v="4"/>
    <s v="TRK82416295"/>
    <x v="1"/>
    <x v="2"/>
    <x v="3"/>
    <x v="1115"/>
  </r>
  <r>
    <s v="ORD201121"/>
    <x v="654"/>
    <s v="C98354"/>
    <x v="1"/>
    <x v="4"/>
    <x v="1114"/>
    <x v="555"/>
    <x v="3"/>
    <x v="2"/>
    <s v="TRK43070888"/>
    <x v="1"/>
    <x v="1"/>
    <x v="0"/>
    <x v="1116"/>
  </r>
  <r>
    <s v="ORD201122"/>
    <x v="323"/>
    <s v="C38840"/>
    <x v="0"/>
    <x v="0"/>
    <x v="1115"/>
    <x v="598"/>
    <x v="1"/>
    <x v="2"/>
    <s v="TRK32496970"/>
    <x v="2"/>
    <x v="2"/>
    <x v="3"/>
    <x v="1117"/>
  </r>
  <r>
    <s v="ORD201123"/>
    <x v="655"/>
    <s v="C68936"/>
    <x v="2"/>
    <x v="4"/>
    <x v="1116"/>
    <x v="626"/>
    <x v="0"/>
    <x v="0"/>
    <s v="TRK73163634"/>
    <x v="5"/>
    <x v="3"/>
    <x v="1"/>
    <x v="1118"/>
  </r>
  <r>
    <s v="ORD201124"/>
    <x v="221"/>
    <s v="C33744"/>
    <x v="3"/>
    <x v="3"/>
    <x v="1117"/>
    <x v="627"/>
    <x v="3"/>
    <x v="2"/>
    <s v="TRK40245983"/>
    <x v="3"/>
    <x v="2"/>
    <x v="0"/>
    <x v="1119"/>
  </r>
  <r>
    <s v="ORD201125"/>
    <x v="504"/>
    <s v="C23555"/>
    <x v="6"/>
    <x v="3"/>
    <x v="1118"/>
    <x v="548"/>
    <x v="3"/>
    <x v="1"/>
    <s v="TRK67210247"/>
    <x v="4"/>
    <x v="1"/>
    <x v="1"/>
    <x v="1120"/>
  </r>
  <r>
    <s v="ORD201126"/>
    <x v="319"/>
    <s v="C34337"/>
    <x v="1"/>
    <x v="0"/>
    <x v="1119"/>
    <x v="628"/>
    <x v="4"/>
    <x v="3"/>
    <s v="TRK36195559"/>
    <x v="0"/>
    <x v="0"/>
    <x v="4"/>
    <x v="1121"/>
  </r>
  <r>
    <s v="ORD201127"/>
    <x v="175"/>
    <s v="C69396"/>
    <x v="4"/>
    <x v="4"/>
    <x v="1120"/>
    <x v="529"/>
    <x v="2"/>
    <x v="0"/>
    <s v="TRK33155049"/>
    <x v="5"/>
    <x v="0"/>
    <x v="2"/>
    <x v="1122"/>
  </r>
  <r>
    <s v="ORD201128"/>
    <x v="538"/>
    <s v="C49198"/>
    <x v="0"/>
    <x v="4"/>
    <x v="1121"/>
    <x v="80"/>
    <x v="4"/>
    <x v="1"/>
    <s v="TRK10883354"/>
    <x v="3"/>
    <x v="3"/>
    <x v="4"/>
    <x v="1123"/>
  </r>
  <r>
    <s v="ORD201129"/>
    <x v="236"/>
    <s v="C43911"/>
    <x v="3"/>
    <x v="3"/>
    <x v="1122"/>
    <x v="70"/>
    <x v="4"/>
    <x v="4"/>
    <s v="TRK37495481"/>
    <x v="2"/>
    <x v="1"/>
    <x v="0"/>
    <x v="1124"/>
  </r>
  <r>
    <s v="ORD201130"/>
    <x v="656"/>
    <s v="C24347"/>
    <x v="5"/>
    <x v="1"/>
    <x v="1123"/>
    <x v="91"/>
    <x v="2"/>
    <x v="2"/>
    <s v="TRK27233265"/>
    <x v="3"/>
    <x v="1"/>
    <x v="0"/>
    <x v="1125"/>
  </r>
  <r>
    <s v="ORD201131"/>
    <x v="408"/>
    <s v="C21043"/>
    <x v="1"/>
    <x v="2"/>
    <x v="1124"/>
    <x v="241"/>
    <x v="2"/>
    <x v="4"/>
    <s v="TRK41691086"/>
    <x v="1"/>
    <x v="3"/>
    <x v="3"/>
    <x v="1126"/>
  </r>
  <r>
    <s v="ORD201132"/>
    <x v="657"/>
    <s v="C58858"/>
    <x v="3"/>
    <x v="1"/>
    <x v="1125"/>
    <x v="198"/>
    <x v="2"/>
    <x v="1"/>
    <s v="TRK30406357"/>
    <x v="4"/>
    <x v="0"/>
    <x v="2"/>
    <x v="1127"/>
  </r>
  <r>
    <s v="ORD201133"/>
    <x v="398"/>
    <s v="C20670"/>
    <x v="4"/>
    <x v="1"/>
    <x v="1126"/>
    <x v="187"/>
    <x v="3"/>
    <x v="2"/>
    <s v="TRK76731303"/>
    <x v="3"/>
    <x v="3"/>
    <x v="3"/>
    <x v="1128"/>
  </r>
  <r>
    <s v="ORD201134"/>
    <x v="180"/>
    <s v="C90993"/>
    <x v="6"/>
    <x v="3"/>
    <x v="1127"/>
    <x v="629"/>
    <x v="0"/>
    <x v="1"/>
    <s v="TRK53964711"/>
    <x v="4"/>
    <x v="3"/>
    <x v="3"/>
    <x v="1129"/>
  </r>
  <r>
    <s v="ORD201135"/>
    <x v="153"/>
    <s v="C11473"/>
    <x v="4"/>
    <x v="1"/>
    <x v="1128"/>
    <x v="203"/>
    <x v="1"/>
    <x v="0"/>
    <s v="TRK97793275"/>
    <x v="7"/>
    <x v="0"/>
    <x v="4"/>
    <x v="1130"/>
  </r>
  <r>
    <s v="ORD201136"/>
    <x v="463"/>
    <s v="C71899"/>
    <x v="2"/>
    <x v="4"/>
    <x v="1129"/>
    <x v="472"/>
    <x v="3"/>
    <x v="4"/>
    <s v="TRK34856025"/>
    <x v="4"/>
    <x v="3"/>
    <x v="3"/>
    <x v="1131"/>
  </r>
  <r>
    <s v="ORD201137"/>
    <x v="511"/>
    <s v="C48577"/>
    <x v="4"/>
    <x v="3"/>
    <x v="1130"/>
    <x v="630"/>
    <x v="4"/>
    <x v="4"/>
    <s v="TRK59911645"/>
    <x v="3"/>
    <x v="3"/>
    <x v="0"/>
    <x v="1132"/>
  </r>
  <r>
    <s v="ORD201138"/>
    <x v="552"/>
    <s v="C13100"/>
    <x v="6"/>
    <x v="3"/>
    <x v="1131"/>
    <x v="455"/>
    <x v="0"/>
    <x v="4"/>
    <s v="TRK55565668"/>
    <x v="4"/>
    <x v="2"/>
    <x v="0"/>
    <x v="1133"/>
  </r>
  <r>
    <s v="ORD201139"/>
    <x v="627"/>
    <s v="C70659"/>
    <x v="3"/>
    <x v="4"/>
    <x v="1132"/>
    <x v="28"/>
    <x v="3"/>
    <x v="1"/>
    <s v="TRK28290825"/>
    <x v="4"/>
    <x v="1"/>
    <x v="2"/>
    <x v="1134"/>
  </r>
  <r>
    <s v="ORD201140"/>
    <x v="658"/>
    <s v="C49838"/>
    <x v="4"/>
    <x v="1"/>
    <x v="1133"/>
    <x v="8"/>
    <x v="2"/>
    <x v="1"/>
    <s v="TRK38297718"/>
    <x v="1"/>
    <x v="2"/>
    <x v="1"/>
    <x v="1135"/>
  </r>
  <r>
    <s v="ORD201141"/>
    <x v="656"/>
    <s v="C11998"/>
    <x v="3"/>
    <x v="4"/>
    <x v="1134"/>
    <x v="17"/>
    <x v="4"/>
    <x v="1"/>
    <s v="TRK26707221"/>
    <x v="5"/>
    <x v="2"/>
    <x v="2"/>
    <x v="1136"/>
  </r>
  <r>
    <s v="ORD201142"/>
    <x v="1"/>
    <s v="C23405"/>
    <x v="1"/>
    <x v="3"/>
    <x v="1135"/>
    <x v="631"/>
    <x v="0"/>
    <x v="2"/>
    <s v="TRK83678708"/>
    <x v="2"/>
    <x v="2"/>
    <x v="2"/>
    <x v="1137"/>
  </r>
  <r>
    <s v="ORD201143"/>
    <x v="659"/>
    <s v="C41132"/>
    <x v="3"/>
    <x v="2"/>
    <x v="1136"/>
    <x v="632"/>
    <x v="0"/>
    <x v="4"/>
    <s v="TRK51040137"/>
    <x v="3"/>
    <x v="2"/>
    <x v="2"/>
    <x v="1138"/>
  </r>
  <r>
    <s v="ORD201144"/>
    <x v="223"/>
    <s v="C88463"/>
    <x v="6"/>
    <x v="0"/>
    <x v="1137"/>
    <x v="633"/>
    <x v="1"/>
    <x v="1"/>
    <s v="TRK88749996"/>
    <x v="6"/>
    <x v="2"/>
    <x v="3"/>
    <x v="1139"/>
  </r>
  <r>
    <s v="ORD201145"/>
    <x v="275"/>
    <s v="C28152"/>
    <x v="6"/>
    <x v="4"/>
    <x v="1138"/>
    <x v="218"/>
    <x v="0"/>
    <x v="3"/>
    <s v="TRK59642814"/>
    <x v="5"/>
    <x v="1"/>
    <x v="3"/>
    <x v="1140"/>
  </r>
  <r>
    <s v="ORD201146"/>
    <x v="525"/>
    <s v="C36383"/>
    <x v="0"/>
    <x v="0"/>
    <x v="1139"/>
    <x v="351"/>
    <x v="4"/>
    <x v="4"/>
    <s v="TRK93336357"/>
    <x v="3"/>
    <x v="0"/>
    <x v="0"/>
    <x v="1141"/>
  </r>
  <r>
    <s v="ORD201147"/>
    <x v="143"/>
    <s v="C19759"/>
    <x v="3"/>
    <x v="1"/>
    <x v="1140"/>
    <x v="634"/>
    <x v="1"/>
    <x v="4"/>
    <s v="TRK22515454"/>
    <x v="7"/>
    <x v="1"/>
    <x v="2"/>
    <x v="1142"/>
  </r>
  <r>
    <s v="ORD201148"/>
    <x v="611"/>
    <s v="C54886"/>
    <x v="1"/>
    <x v="2"/>
    <x v="1141"/>
    <x v="635"/>
    <x v="4"/>
    <x v="2"/>
    <s v="TRK66241930"/>
    <x v="7"/>
    <x v="0"/>
    <x v="2"/>
    <x v="1143"/>
  </r>
  <r>
    <s v="ORD201149"/>
    <x v="568"/>
    <s v="C27305"/>
    <x v="3"/>
    <x v="1"/>
    <x v="1142"/>
    <x v="636"/>
    <x v="2"/>
    <x v="4"/>
    <s v="TRK28789916"/>
    <x v="5"/>
    <x v="1"/>
    <x v="0"/>
    <x v="1144"/>
  </r>
  <r>
    <s v="ORD201150"/>
    <x v="215"/>
    <s v="C17921"/>
    <x v="6"/>
    <x v="3"/>
    <x v="1143"/>
    <x v="232"/>
    <x v="2"/>
    <x v="1"/>
    <s v="TRK79291524"/>
    <x v="2"/>
    <x v="0"/>
    <x v="1"/>
    <x v="1145"/>
  </r>
  <r>
    <s v="ORD201151"/>
    <x v="22"/>
    <s v="C94381"/>
    <x v="3"/>
    <x v="1"/>
    <x v="1144"/>
    <x v="637"/>
    <x v="4"/>
    <x v="1"/>
    <s v="TRK69804304"/>
    <x v="4"/>
    <x v="2"/>
    <x v="4"/>
    <x v="1146"/>
  </r>
  <r>
    <s v="ORD201152"/>
    <x v="576"/>
    <s v="C25162"/>
    <x v="2"/>
    <x v="1"/>
    <x v="1145"/>
    <x v="91"/>
    <x v="2"/>
    <x v="0"/>
    <s v="TRK42183078"/>
    <x v="0"/>
    <x v="2"/>
    <x v="1"/>
    <x v="1147"/>
  </r>
  <r>
    <s v="ORD201153"/>
    <x v="393"/>
    <s v="C98317"/>
    <x v="0"/>
    <x v="3"/>
    <x v="1146"/>
    <x v="638"/>
    <x v="0"/>
    <x v="0"/>
    <s v="TRK37172138"/>
    <x v="4"/>
    <x v="2"/>
    <x v="0"/>
    <x v="1148"/>
  </r>
  <r>
    <s v="ORD201154"/>
    <x v="113"/>
    <s v="C53631"/>
    <x v="0"/>
    <x v="4"/>
    <x v="1147"/>
    <x v="110"/>
    <x v="4"/>
    <x v="4"/>
    <s v="TRK67589167"/>
    <x v="2"/>
    <x v="0"/>
    <x v="0"/>
    <x v="1149"/>
  </r>
  <r>
    <s v="ORD201155"/>
    <x v="340"/>
    <s v="C41478"/>
    <x v="4"/>
    <x v="3"/>
    <x v="1148"/>
    <x v="148"/>
    <x v="2"/>
    <x v="3"/>
    <s v="TRK62068126"/>
    <x v="5"/>
    <x v="1"/>
    <x v="3"/>
    <x v="1150"/>
  </r>
  <r>
    <s v="ORD201156"/>
    <x v="45"/>
    <s v="C20512"/>
    <x v="5"/>
    <x v="3"/>
    <x v="1149"/>
    <x v="14"/>
    <x v="2"/>
    <x v="0"/>
    <s v="TRK98234737"/>
    <x v="6"/>
    <x v="2"/>
    <x v="1"/>
    <x v="1151"/>
  </r>
  <r>
    <s v="ORD201157"/>
    <x v="382"/>
    <s v="C25841"/>
    <x v="0"/>
    <x v="4"/>
    <x v="1150"/>
    <x v="195"/>
    <x v="0"/>
    <x v="3"/>
    <s v="TRK21451375"/>
    <x v="3"/>
    <x v="1"/>
    <x v="4"/>
    <x v="1152"/>
  </r>
  <r>
    <s v="ORD201158"/>
    <x v="197"/>
    <s v="C82781"/>
    <x v="0"/>
    <x v="3"/>
    <x v="1151"/>
    <x v="345"/>
    <x v="0"/>
    <x v="4"/>
    <s v="TRK20605418"/>
    <x v="4"/>
    <x v="0"/>
    <x v="1"/>
    <x v="1153"/>
  </r>
  <r>
    <s v="ORD201159"/>
    <x v="203"/>
    <s v="C66112"/>
    <x v="6"/>
    <x v="3"/>
    <x v="1152"/>
    <x v="356"/>
    <x v="0"/>
    <x v="2"/>
    <s v="TRK60955607"/>
    <x v="2"/>
    <x v="2"/>
    <x v="0"/>
    <x v="1154"/>
  </r>
  <r>
    <s v="ORD201160"/>
    <x v="333"/>
    <s v="C40466"/>
    <x v="6"/>
    <x v="2"/>
    <x v="1153"/>
    <x v="367"/>
    <x v="0"/>
    <x v="0"/>
    <s v="TRK70255168"/>
    <x v="3"/>
    <x v="0"/>
    <x v="2"/>
    <x v="1155"/>
  </r>
  <r>
    <s v="ORD201161"/>
    <x v="504"/>
    <s v="C32570"/>
    <x v="1"/>
    <x v="2"/>
    <x v="1154"/>
    <x v="283"/>
    <x v="4"/>
    <x v="1"/>
    <s v="TRK35969968"/>
    <x v="5"/>
    <x v="3"/>
    <x v="2"/>
    <x v="1156"/>
  </r>
  <r>
    <s v="ORD201162"/>
    <x v="660"/>
    <s v="C29405"/>
    <x v="1"/>
    <x v="1"/>
    <x v="1155"/>
    <x v="639"/>
    <x v="0"/>
    <x v="3"/>
    <s v="TRK33125798"/>
    <x v="1"/>
    <x v="3"/>
    <x v="1"/>
    <x v="1157"/>
  </r>
  <r>
    <s v="ORD201163"/>
    <x v="184"/>
    <s v="C30643"/>
    <x v="5"/>
    <x v="4"/>
    <x v="1156"/>
    <x v="640"/>
    <x v="2"/>
    <x v="2"/>
    <s v="TRK19477485"/>
    <x v="0"/>
    <x v="3"/>
    <x v="0"/>
    <x v="1158"/>
  </r>
  <r>
    <s v="ORD201164"/>
    <x v="649"/>
    <s v="C65890"/>
    <x v="2"/>
    <x v="0"/>
    <x v="1157"/>
    <x v="416"/>
    <x v="0"/>
    <x v="3"/>
    <s v="TRK64530489"/>
    <x v="5"/>
    <x v="3"/>
    <x v="2"/>
    <x v="1159"/>
  </r>
  <r>
    <s v="ORD201165"/>
    <x v="328"/>
    <s v="C36992"/>
    <x v="3"/>
    <x v="4"/>
    <x v="1158"/>
    <x v="641"/>
    <x v="0"/>
    <x v="4"/>
    <s v="TRK63460217"/>
    <x v="1"/>
    <x v="2"/>
    <x v="4"/>
    <x v="1160"/>
  </r>
  <r>
    <s v="ORD201166"/>
    <x v="48"/>
    <s v="C95568"/>
    <x v="3"/>
    <x v="4"/>
    <x v="1159"/>
    <x v="76"/>
    <x v="4"/>
    <x v="3"/>
    <s v="TRK37075292"/>
    <x v="4"/>
    <x v="3"/>
    <x v="2"/>
    <x v="1161"/>
  </r>
  <r>
    <s v="ORD201167"/>
    <x v="661"/>
    <s v="C17966"/>
    <x v="4"/>
    <x v="1"/>
    <x v="1160"/>
    <x v="235"/>
    <x v="2"/>
    <x v="4"/>
    <s v="TRK31169396"/>
    <x v="3"/>
    <x v="1"/>
    <x v="3"/>
    <x v="1162"/>
  </r>
  <r>
    <s v="ORD201168"/>
    <x v="505"/>
    <s v="C89559"/>
    <x v="5"/>
    <x v="1"/>
    <x v="1161"/>
    <x v="642"/>
    <x v="2"/>
    <x v="3"/>
    <s v="TRK82838108"/>
    <x v="5"/>
    <x v="3"/>
    <x v="4"/>
    <x v="1163"/>
  </r>
  <r>
    <s v="ORD201169"/>
    <x v="662"/>
    <s v="C15849"/>
    <x v="3"/>
    <x v="2"/>
    <x v="1162"/>
    <x v="643"/>
    <x v="4"/>
    <x v="1"/>
    <s v="TRK26794546"/>
    <x v="7"/>
    <x v="0"/>
    <x v="0"/>
    <x v="1164"/>
  </r>
  <r>
    <s v="ORD201170"/>
    <x v="567"/>
    <s v="C94257"/>
    <x v="4"/>
    <x v="1"/>
    <x v="1163"/>
    <x v="197"/>
    <x v="4"/>
    <x v="2"/>
    <s v="TRK40220743"/>
    <x v="0"/>
    <x v="1"/>
    <x v="2"/>
    <x v="1165"/>
  </r>
  <r>
    <s v="ORD201171"/>
    <x v="81"/>
    <s v="C39911"/>
    <x v="1"/>
    <x v="3"/>
    <x v="1164"/>
    <x v="644"/>
    <x v="2"/>
    <x v="3"/>
    <s v="TRK80431998"/>
    <x v="0"/>
    <x v="0"/>
    <x v="3"/>
    <x v="1166"/>
  </r>
  <r>
    <s v="ORD201172"/>
    <x v="496"/>
    <s v="C28828"/>
    <x v="6"/>
    <x v="4"/>
    <x v="1165"/>
    <x v="383"/>
    <x v="2"/>
    <x v="4"/>
    <s v="TRK32550359"/>
    <x v="2"/>
    <x v="2"/>
    <x v="0"/>
    <x v="1167"/>
  </r>
  <r>
    <s v="ORD201173"/>
    <x v="449"/>
    <s v="C82921"/>
    <x v="0"/>
    <x v="2"/>
    <x v="1166"/>
    <x v="481"/>
    <x v="1"/>
    <x v="0"/>
    <s v="TRK31079911"/>
    <x v="4"/>
    <x v="1"/>
    <x v="2"/>
    <x v="1168"/>
  </r>
  <r>
    <s v="ORD201174"/>
    <x v="110"/>
    <s v="C50159"/>
    <x v="4"/>
    <x v="4"/>
    <x v="1167"/>
    <x v="645"/>
    <x v="2"/>
    <x v="2"/>
    <s v="TRK53737452"/>
    <x v="3"/>
    <x v="3"/>
    <x v="2"/>
    <x v="1169"/>
  </r>
  <r>
    <s v="ORD201175"/>
    <x v="663"/>
    <s v="C62512"/>
    <x v="4"/>
    <x v="4"/>
    <x v="1168"/>
    <x v="256"/>
    <x v="0"/>
    <x v="2"/>
    <s v="TRK24139954"/>
    <x v="2"/>
    <x v="1"/>
    <x v="1"/>
    <x v="1170"/>
  </r>
  <r>
    <s v="ORD201176"/>
    <x v="340"/>
    <s v="C39260"/>
    <x v="2"/>
    <x v="1"/>
    <x v="1169"/>
    <x v="646"/>
    <x v="0"/>
    <x v="1"/>
    <s v="TRK55587314"/>
    <x v="7"/>
    <x v="3"/>
    <x v="2"/>
    <x v="1171"/>
  </r>
  <r>
    <s v="ORD201177"/>
    <x v="664"/>
    <s v="C23917"/>
    <x v="4"/>
    <x v="2"/>
    <x v="1170"/>
    <x v="339"/>
    <x v="4"/>
    <x v="0"/>
    <s v="TRK44434536"/>
    <x v="1"/>
    <x v="0"/>
    <x v="1"/>
    <x v="1172"/>
  </r>
  <r>
    <s v="ORD201178"/>
    <x v="50"/>
    <s v="C65107"/>
    <x v="0"/>
    <x v="2"/>
    <x v="1171"/>
    <x v="206"/>
    <x v="2"/>
    <x v="1"/>
    <s v="TRK10261578"/>
    <x v="4"/>
    <x v="1"/>
    <x v="4"/>
    <x v="1173"/>
  </r>
  <r>
    <s v="ORD201179"/>
    <x v="124"/>
    <s v="C84630"/>
    <x v="5"/>
    <x v="0"/>
    <x v="1172"/>
    <x v="299"/>
    <x v="2"/>
    <x v="1"/>
    <s v="TRK48054997"/>
    <x v="5"/>
    <x v="3"/>
    <x v="0"/>
    <x v="1174"/>
  </r>
  <r>
    <s v="ORD201180"/>
    <x v="150"/>
    <s v="C42235"/>
    <x v="3"/>
    <x v="3"/>
    <x v="1173"/>
    <x v="395"/>
    <x v="0"/>
    <x v="4"/>
    <s v="TRK49379882"/>
    <x v="2"/>
    <x v="1"/>
    <x v="4"/>
    <x v="1175"/>
  </r>
  <r>
    <s v="ORD201181"/>
    <x v="152"/>
    <s v="C70246"/>
    <x v="6"/>
    <x v="4"/>
    <x v="1174"/>
    <x v="284"/>
    <x v="1"/>
    <x v="4"/>
    <s v="TRK45708320"/>
    <x v="0"/>
    <x v="1"/>
    <x v="0"/>
    <x v="1176"/>
  </r>
  <r>
    <s v="ORD201182"/>
    <x v="554"/>
    <s v="C18473"/>
    <x v="3"/>
    <x v="1"/>
    <x v="1175"/>
    <x v="425"/>
    <x v="3"/>
    <x v="2"/>
    <s v="TRK97834202"/>
    <x v="1"/>
    <x v="0"/>
    <x v="4"/>
    <x v="1177"/>
  </r>
  <r>
    <s v="ORD201183"/>
    <x v="228"/>
    <s v="C12607"/>
    <x v="6"/>
    <x v="2"/>
    <x v="1176"/>
    <x v="223"/>
    <x v="3"/>
    <x v="0"/>
    <s v="TRK83653396"/>
    <x v="5"/>
    <x v="3"/>
    <x v="1"/>
    <x v="1178"/>
  </r>
  <r>
    <s v="ORD201184"/>
    <x v="610"/>
    <s v="C10222"/>
    <x v="5"/>
    <x v="2"/>
    <x v="1177"/>
    <x v="528"/>
    <x v="3"/>
    <x v="2"/>
    <s v="TRK86297895"/>
    <x v="4"/>
    <x v="2"/>
    <x v="4"/>
    <x v="1179"/>
  </r>
  <r>
    <s v="ORD201185"/>
    <x v="665"/>
    <s v="C77344"/>
    <x v="3"/>
    <x v="2"/>
    <x v="1178"/>
    <x v="647"/>
    <x v="3"/>
    <x v="2"/>
    <s v="TRK20605055"/>
    <x v="5"/>
    <x v="0"/>
    <x v="4"/>
    <x v="1180"/>
  </r>
  <r>
    <s v="ORD201186"/>
    <x v="134"/>
    <s v="C65497"/>
    <x v="0"/>
    <x v="2"/>
    <x v="1179"/>
    <x v="648"/>
    <x v="4"/>
    <x v="0"/>
    <s v="TRK83702761"/>
    <x v="5"/>
    <x v="3"/>
    <x v="3"/>
    <x v="1181"/>
  </r>
  <r>
    <s v="ORD201187"/>
    <x v="206"/>
    <s v="C26340"/>
    <x v="6"/>
    <x v="1"/>
    <x v="1180"/>
    <x v="203"/>
    <x v="3"/>
    <x v="3"/>
    <s v="TRK59962703"/>
    <x v="0"/>
    <x v="3"/>
    <x v="2"/>
    <x v="1182"/>
  </r>
  <r>
    <s v="ORD201188"/>
    <x v="47"/>
    <s v="C75619"/>
    <x v="4"/>
    <x v="1"/>
    <x v="1181"/>
    <x v="649"/>
    <x v="3"/>
    <x v="0"/>
    <s v="TRK23086941"/>
    <x v="3"/>
    <x v="3"/>
    <x v="3"/>
    <x v="1183"/>
  </r>
  <r>
    <s v="ORD201189"/>
    <x v="666"/>
    <s v="C96136"/>
    <x v="2"/>
    <x v="0"/>
    <x v="1182"/>
    <x v="650"/>
    <x v="4"/>
    <x v="1"/>
    <s v="TRK60856682"/>
    <x v="0"/>
    <x v="2"/>
    <x v="1"/>
    <x v="1184"/>
  </r>
  <r>
    <s v="ORD201190"/>
    <x v="647"/>
    <s v="C46886"/>
    <x v="6"/>
    <x v="4"/>
    <x v="1183"/>
    <x v="651"/>
    <x v="2"/>
    <x v="0"/>
    <s v="TRK82791646"/>
    <x v="5"/>
    <x v="1"/>
    <x v="0"/>
    <x v="1185"/>
  </r>
  <r>
    <s v="ORD201191"/>
    <x v="441"/>
    <s v="C44148"/>
    <x v="6"/>
    <x v="3"/>
    <x v="1184"/>
    <x v="431"/>
    <x v="3"/>
    <x v="4"/>
    <s v="TRK67872709"/>
    <x v="3"/>
    <x v="3"/>
    <x v="0"/>
    <x v="1186"/>
  </r>
  <r>
    <s v="ORD201192"/>
    <x v="329"/>
    <s v="C72007"/>
    <x v="3"/>
    <x v="4"/>
    <x v="1185"/>
    <x v="183"/>
    <x v="1"/>
    <x v="4"/>
    <s v="TRK16240916"/>
    <x v="4"/>
    <x v="2"/>
    <x v="0"/>
    <x v="1187"/>
  </r>
  <r>
    <s v="ORD201193"/>
    <x v="667"/>
    <s v="C45104"/>
    <x v="2"/>
    <x v="2"/>
    <x v="1186"/>
    <x v="71"/>
    <x v="4"/>
    <x v="2"/>
    <s v="TRK38559816"/>
    <x v="9"/>
    <x v="1"/>
    <x v="2"/>
    <x v="1188"/>
  </r>
  <r>
    <s v="ORD201194"/>
    <x v="614"/>
    <s v="C29885"/>
    <x v="4"/>
    <x v="4"/>
    <x v="1187"/>
    <x v="172"/>
    <x v="4"/>
    <x v="4"/>
    <s v="TRK62067865"/>
    <x v="4"/>
    <x v="1"/>
    <x v="2"/>
    <x v="1189"/>
  </r>
  <r>
    <s v="ORD201195"/>
    <x v="643"/>
    <s v="C21126"/>
    <x v="6"/>
    <x v="2"/>
    <x v="1188"/>
    <x v="652"/>
    <x v="2"/>
    <x v="1"/>
    <s v="TRK38009181"/>
    <x v="5"/>
    <x v="1"/>
    <x v="4"/>
    <x v="1190"/>
  </r>
  <r>
    <s v="ORD201196"/>
    <x v="668"/>
    <s v="C20095"/>
    <x v="0"/>
    <x v="1"/>
    <x v="1189"/>
    <x v="320"/>
    <x v="1"/>
    <x v="1"/>
    <s v="TRK69207593"/>
    <x v="3"/>
    <x v="2"/>
    <x v="3"/>
    <x v="1191"/>
  </r>
  <r>
    <s v="ORD201197"/>
    <x v="669"/>
    <s v="C79674"/>
    <x v="2"/>
    <x v="1"/>
    <x v="1190"/>
    <x v="3"/>
    <x v="1"/>
    <x v="3"/>
    <s v="TRK88039356"/>
    <x v="7"/>
    <x v="1"/>
    <x v="0"/>
    <x v="1192"/>
  </r>
  <r>
    <s v="ORD201198"/>
    <x v="670"/>
    <s v="C64753"/>
    <x v="3"/>
    <x v="3"/>
    <x v="1191"/>
    <x v="653"/>
    <x v="0"/>
    <x v="1"/>
    <s v="TRK71683331"/>
    <x v="4"/>
    <x v="3"/>
    <x v="0"/>
    <x v="1193"/>
  </r>
  <r>
    <s v="ORD201199"/>
    <x v="236"/>
    <s v="C57502"/>
    <x v="2"/>
    <x v="3"/>
    <x v="1192"/>
    <x v="654"/>
    <x v="3"/>
    <x v="2"/>
    <s v="TRK51116746"/>
    <x v="5"/>
    <x v="0"/>
    <x v="1"/>
    <x v="11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B9A69-8422-484D-88CF-39BBC341020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A10:C18" firstHeaderRow="0" firstDataRow="1" firstDataCol="1"/>
  <pivotFields count="17">
    <pivotField dataField="1"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Price" fld="13" baseField="0" baseItem="0" numFmtId="44"/>
    <dataField name="Count of OrderID" fld="0" subtotal="count" baseField="0" baseItem="0"/>
  </dataFields>
  <formats count="7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3" type="button" dataOnly="0" labelOnly="1" outline="0" axis="axisRow" fieldPosition="0"/>
    </format>
    <format dxfId="13">
      <pivotArea dataOnly="0" labelOnly="1" fieldPosition="0">
        <references count="1">
          <reference field="3" count="0"/>
        </references>
      </pivotArea>
    </format>
    <format dxfId="12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D06B0-E575-4DE7-AB50-25EB2FEA1A29}" name="PivotTable6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olHeaderCaption="Months">
  <location ref="I3:U15" firstHeaderRow="1" firstDataRow="5" firstDataCol="1"/>
  <pivotFields count="17">
    <pivotField showAll="0"/>
    <pivotField axis="axisCol"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>
      <items count="6">
        <item x="2"/>
        <item x="1"/>
        <item x="4"/>
        <item x="3"/>
        <item x="0"/>
        <item t="default"/>
      </items>
    </pivotField>
    <pivotField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showAll="0">
      <items count="656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t="default"/>
      </items>
    </pivotField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>
      <items count="11">
        <item x="9"/>
        <item x="7"/>
        <item x="1"/>
        <item x="4"/>
        <item x="3"/>
        <item x="5"/>
        <item x="0"/>
        <item x="2"/>
        <item x="6"/>
        <item x="8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>
      <items count="6">
        <item x="2"/>
        <item x="3"/>
        <item x="4"/>
        <item x="0"/>
        <item x="1"/>
        <item t="default"/>
      </items>
    </pivotField>
    <pivotField dataField="1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4">
    <field x="14"/>
    <field x="16"/>
    <field x="15"/>
    <field x="1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colItems>
  <dataFields count="1">
    <dataField name="Sum of TotalPrice" fld="13" baseField="0" baseItem="0" numFmtId="44"/>
  </dataFields>
  <formats count="5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3" type="button" dataOnly="0" labelOnly="1" outline="0" axis="axisRow" fieldPosition="0"/>
    </format>
    <format dxfId="18">
      <pivotArea dataOnly="0" labelOnly="1" grandRow="1" outline="0" fieldPosition="0"/>
    </format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4FA5D7-E959-43F6-8193-106E2B38817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ral Source">
  <location ref="E20:G26" firstHeaderRow="0" firstDataRow="1" firstDataCol="1"/>
  <pivotFields count="17">
    <pivotField dataField="1"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3" baseField="0" baseItem="0" numFmtId="44"/>
  </dataFields>
  <formats count="6">
    <format dxfId="27">
      <pivotArea type="all" dataOnly="0" outline="0" fieldPosition="0"/>
    </format>
    <format dxfId="26">
      <pivotArea outline="0" collapsedLevelsAreSubtotals="1" fieldPosition="0"/>
    </format>
    <format dxfId="25">
      <pivotArea field="3" type="button" dataOnly="0" labelOnly="1" outline="0"/>
    </format>
    <format dxfId="24">
      <pivotArea dataOnly="0" labelOnly="1" grandRow="1" outline="0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D8D10-2BE6-4E4C-80EB-4C3F000125B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E10:G16" firstHeaderRow="0" firstDataRow="1" firstDataCol="1"/>
  <pivotFields count="17">
    <pivotField dataField="1"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3" baseField="0" baseItem="0" numFmtId="44"/>
  </dataFields>
  <formats count="6"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3" type="button" dataOnly="0" labelOnly="1" outline="0"/>
    </format>
    <format dxfId="30">
      <pivotArea dataOnly="0" labelOnly="1" grandRow="1" outline="0" fieldPosition="0"/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671CFD-0278-4E53-967D-41C1A993BF9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status">
  <location ref="A22:C28" firstHeaderRow="0" firstDataRow="1" firstDataCol="1"/>
  <pivotFields count="17">
    <pivotField dataField="1" showAll="0"/>
    <pivotField numFmtId="165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3" baseField="0" baseItem="0" numFmtId="44"/>
  </dataFields>
  <formats count="6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3" type="button" dataOnly="0" labelOnly="1" outline="0"/>
    </format>
    <format dxfId="36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43A63B-8EE7-4D09-8470-A3D8C5A9D834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5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D7E833-754D-4FA3-B224-F95AED9EAD92}" name="Table1_2" displayName="Table1_2" ref="A1:N1201" tableType="queryTable" totalsRowShown="0">
  <tableColumns count="14">
    <tableColumn id="15" xr3:uid="{5C1194DE-03E1-417D-8BE9-465CD43A425A}" uniqueName="15" name="OrderID" queryTableFieldId="1" dataDxfId="9"/>
    <tableColumn id="2" xr3:uid="{92E2F8CB-AE08-448D-AB44-FF7D37442E68}" uniqueName="2" name="Date" queryTableFieldId="2" dataDxfId="8"/>
    <tableColumn id="3" xr3:uid="{6A6F167C-B614-4004-9B4A-791224A86702}" uniqueName="3" name="CustomerID" queryTableFieldId="3" dataDxfId="7"/>
    <tableColumn id="4" xr3:uid="{E360A459-0386-4137-A72B-DFD6EA3C2493}" uniqueName="4" name="Product" queryTableFieldId="4" dataDxfId="6"/>
    <tableColumn id="5" xr3:uid="{90C0EF9C-DEC5-4D4C-9BBD-6A81DFEE34D4}" uniqueName="5" name="Quantity" queryTableFieldId="5"/>
    <tableColumn id="6" xr3:uid="{4D658159-708E-465F-8385-B6608BBA7A60}" uniqueName="6" name="UnitPrice" queryTableFieldId="6"/>
    <tableColumn id="7" xr3:uid="{0A48E762-251E-4EA7-8ABC-0747F7A8AFB5}" uniqueName="7" name="ShippingAddress" queryTableFieldId="7" dataDxfId="5"/>
    <tableColumn id="8" xr3:uid="{A9B16CC7-9787-4B52-B7C6-5E936F7372CD}" uniqueName="8" name="PaymentMethod" queryTableFieldId="8" dataDxfId="4"/>
    <tableColumn id="9" xr3:uid="{8174070E-9259-4F84-9DB7-AD200A2ECA03}" uniqueName="9" name="OrderStatus" queryTableFieldId="9" dataDxfId="3"/>
    <tableColumn id="10" xr3:uid="{96A04E33-4CED-4A14-ABF8-4321494ADA7D}" uniqueName="10" name="TrackingNumber" queryTableFieldId="10" dataDxfId="2"/>
    <tableColumn id="11" xr3:uid="{4D656C1D-FE38-4334-8298-EEC14C3594FF}" uniqueName="11" name="ItemsInCart" queryTableFieldId="11"/>
    <tableColumn id="12" xr3:uid="{3BE07B45-C6E5-4D6B-96D3-CABC0EDB290B}" uniqueName="12" name="CouponCode" queryTableFieldId="12" dataDxfId="1"/>
    <tableColumn id="13" xr3:uid="{0BF50B27-F9A3-44C5-871D-0C6D1921ECD3}" uniqueName="13" name="ReferralSource" queryTableFieldId="13" dataDxfId="0"/>
    <tableColumn id="14" xr3:uid="{AAA0C5B3-53B5-438A-AC45-EF6AF14F5E2E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110" zoomScaleNormal="110" workbookViewId="0">
      <selection activeCell="C1170" sqref="C1170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6" max="6" width="8.77734375" bestFit="1" customWidth="1"/>
    <col min="7" max="7" width="15.21875" bestFit="1" customWidth="1"/>
    <col min="8" max="8" width="15.44140625" bestFit="1" customWidth="1"/>
    <col min="9" max="9" width="11.109375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C72F-6D66-4D98-BF27-DD66AC6289AF}">
  <dimension ref="A1:D7"/>
  <sheetViews>
    <sheetView workbookViewId="0">
      <selection activeCell="D8" sqref="D8"/>
    </sheetView>
  </sheetViews>
  <sheetFormatPr defaultRowHeight="14.4" x14ac:dyDescent="0.3"/>
  <cols>
    <col min="2" max="2" width="78.109375" bestFit="1" customWidth="1"/>
    <col min="3" max="3" width="27.44140625" bestFit="1" customWidth="1"/>
  </cols>
  <sheetData>
    <row r="1" spans="1:4" x14ac:dyDescent="0.3">
      <c r="A1" t="s">
        <v>4283</v>
      </c>
      <c r="B1" t="s">
        <v>4284</v>
      </c>
      <c r="C1" t="s">
        <v>4285</v>
      </c>
      <c r="D1" t="s">
        <v>4286</v>
      </c>
    </row>
    <row r="2" spans="1:4" x14ac:dyDescent="0.3">
      <c r="A2" t="s">
        <v>4287</v>
      </c>
      <c r="B2" t="s">
        <v>4291</v>
      </c>
      <c r="C2" t="s">
        <v>4292</v>
      </c>
      <c r="D2" t="s">
        <v>4293</v>
      </c>
    </row>
    <row r="3" spans="1:4" x14ac:dyDescent="0.3">
      <c r="A3" t="s">
        <v>4290</v>
      </c>
      <c r="B3" t="s">
        <v>4305</v>
      </c>
      <c r="C3" t="s">
        <v>4288</v>
      </c>
      <c r="D3" t="s">
        <v>4289</v>
      </c>
    </row>
    <row r="4" spans="1:4" x14ac:dyDescent="0.3">
      <c r="A4" t="s">
        <v>4294</v>
      </c>
      <c r="B4" t="s">
        <v>4296</v>
      </c>
      <c r="C4" t="s">
        <v>4297</v>
      </c>
      <c r="D4" t="s">
        <v>4289</v>
      </c>
    </row>
    <row r="5" spans="1:4" x14ac:dyDescent="0.3">
      <c r="A5" t="s">
        <v>4295</v>
      </c>
      <c r="B5" t="s">
        <v>4298</v>
      </c>
      <c r="C5" t="s">
        <v>4299</v>
      </c>
      <c r="D5" t="s">
        <v>4289</v>
      </c>
    </row>
    <row r="6" spans="1:4" x14ac:dyDescent="0.3">
      <c r="A6" t="s">
        <v>4300</v>
      </c>
      <c r="B6" t="s">
        <v>4301</v>
      </c>
      <c r="C6" t="s">
        <v>4302</v>
      </c>
      <c r="D6" t="s">
        <v>4293</v>
      </c>
    </row>
    <row r="7" spans="1:4" x14ac:dyDescent="0.3">
      <c r="A7" t="s">
        <v>4307</v>
      </c>
      <c r="B7" t="s">
        <v>4308</v>
      </c>
      <c r="C7" t="s">
        <v>4309</v>
      </c>
      <c r="D7" t="s">
        <v>4289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FEA73-5143-4996-ACD4-49B930C8E0B8}">
  <dimension ref="A1:T1201"/>
  <sheetViews>
    <sheetView topLeftCell="N1" workbookViewId="0">
      <selection activeCell="S5" sqref="S5"/>
    </sheetView>
  </sheetViews>
  <sheetFormatPr defaultRowHeight="14.4" x14ac:dyDescent="0.3"/>
  <cols>
    <col min="1" max="1" width="10.6640625" bestFit="1" customWidth="1"/>
    <col min="2" max="2" width="10.5546875" style="3" bestFit="1" customWidth="1"/>
    <col min="3" max="3" width="13.109375" bestFit="1" customWidth="1"/>
    <col min="4" max="4" width="9.88671875" bestFit="1" customWidth="1"/>
    <col min="5" max="5" width="10.5546875" bestFit="1" customWidth="1"/>
    <col min="6" max="6" width="10.88671875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bestFit="1" customWidth="1"/>
    <col min="12" max="12" width="14.21875" bestFit="1" customWidth="1"/>
    <col min="13" max="13" width="15.6640625" bestFit="1" customWidth="1"/>
    <col min="14" max="14" width="11.5546875" bestFit="1" customWidth="1"/>
    <col min="16" max="16" width="23.5546875" bestFit="1" customWidth="1"/>
    <col min="17" max="17" width="18.109375" customWidth="1"/>
    <col min="18" max="18" width="24.44140625" bestFit="1" customWidth="1"/>
    <col min="19" max="19" width="13.88671875" bestFit="1" customWidth="1"/>
    <col min="20" max="20" width="8.88671875" customWidth="1"/>
  </cols>
  <sheetData>
    <row r="1" spans="1:20" ht="15.6" x14ac:dyDescent="0.3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s="18" t="s">
        <v>4304</v>
      </c>
      <c r="Q1" s="18" t="s">
        <v>4306</v>
      </c>
      <c r="R1" s="18" t="s">
        <v>4344</v>
      </c>
      <c r="S1" s="18" t="s">
        <v>4342</v>
      </c>
      <c r="T1" s="18" t="s">
        <v>4343</v>
      </c>
    </row>
    <row r="2" spans="1:20" x14ac:dyDescent="0.3">
      <c r="A2" t="s">
        <v>14</v>
      </c>
      <c r="B2" s="3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  <c r="P2">
        <f>Table1_2[[#This Row],[Quantity]]*Table1_2[[#This Row],[UnitPrice]]</f>
        <v>2853.1</v>
      </c>
      <c r="Q2" t="s">
        <v>1214</v>
      </c>
      <c r="R2" t="str">
        <f>IF(OR(N2&lt;$S$2-1.5*($T$2-$S$2),N2&gt;$S$2+1.5*($T$2-$S$2)), "Outlier", "Normal")</f>
        <v>Outlier</v>
      </c>
      <c r="S2">
        <f>QUARTILE($N$2:$N$1201,1)</f>
        <v>410.52</v>
      </c>
      <c r="T2">
        <f>QUARTILE(N2:$N$1201,3)</f>
        <v>1578.4749999999999</v>
      </c>
    </row>
    <row r="3" spans="1:20" x14ac:dyDescent="0.3">
      <c r="A3" t="s">
        <v>15</v>
      </c>
      <c r="B3" s="3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  <c r="P3">
        <f>Table1_2[[#This Row],[Quantity]]*Table1_2[[#This Row],[UnitPrice]]</f>
        <v>302.7</v>
      </c>
      <c r="Q3" t="s">
        <v>1215</v>
      </c>
      <c r="R3" t="str">
        <f t="shared" ref="R3:R66" si="0">IF(OR(N3&lt;$S$2-1.5*($T$2-$S$2),N3&gt;$S$2+1.5*($T$2-$S$2)), "Outlier", "Normal")</f>
        <v>Normal</v>
      </c>
    </row>
    <row r="4" spans="1:20" ht="15.6" x14ac:dyDescent="0.3">
      <c r="A4" t="s">
        <v>16</v>
      </c>
      <c r="B4" s="3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  <c r="P4">
        <f>Table1_2[[#This Row],[Quantity]]*Table1_2[[#This Row],[UnitPrice]]</f>
        <v>2753.3999999999996</v>
      </c>
      <c r="Q4" t="s">
        <v>1216</v>
      </c>
      <c r="R4" t="str">
        <f t="shared" si="0"/>
        <v>Outlier</v>
      </c>
      <c r="S4" s="18" t="s">
        <v>4345</v>
      </c>
      <c r="T4" s="5"/>
    </row>
    <row r="5" spans="1:20" x14ac:dyDescent="0.3">
      <c r="A5" t="s">
        <v>17</v>
      </c>
      <c r="B5" s="3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P5">
        <f>Table1_2[[#This Row],[Quantity]]*Table1_2[[#This Row],[UnitPrice]]</f>
        <v>273.19</v>
      </c>
      <c r="Q5" t="s">
        <v>1217</v>
      </c>
      <c r="R5" t="str">
        <f t="shared" si="0"/>
        <v>Normal</v>
      </c>
      <c r="S5">
        <f>COUNTIF(R2:R1201, "Outlier")</f>
        <v>143</v>
      </c>
    </row>
    <row r="6" spans="1:20" x14ac:dyDescent="0.3">
      <c r="A6" t="s">
        <v>18</v>
      </c>
      <c r="B6" s="3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P6">
        <f>Table1_2[[#This Row],[Quantity]]*Table1_2[[#This Row],[UnitPrice]]</f>
        <v>2504.04</v>
      </c>
      <c r="Q6" t="s">
        <v>1218</v>
      </c>
      <c r="R6" t="str">
        <f t="shared" si="0"/>
        <v>Outlier</v>
      </c>
    </row>
    <row r="7" spans="1:20" x14ac:dyDescent="0.3">
      <c r="A7" t="s">
        <v>19</v>
      </c>
      <c r="B7" s="3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P7">
        <f>Table1_2[[#This Row],[Quantity]]*Table1_2[[#This Row],[UnitPrice]]</f>
        <v>491.72</v>
      </c>
      <c r="Q7" t="s">
        <v>1219</v>
      </c>
      <c r="R7" t="str">
        <f t="shared" si="0"/>
        <v>Normal</v>
      </c>
    </row>
    <row r="8" spans="1:20" x14ac:dyDescent="0.3">
      <c r="A8" t="s">
        <v>20</v>
      </c>
      <c r="B8" s="3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P8">
        <f>Table1_2[[#This Row],[Quantity]]*Table1_2[[#This Row],[UnitPrice]]</f>
        <v>664.42</v>
      </c>
      <c r="Q8" t="s">
        <v>1220</v>
      </c>
      <c r="R8" t="str">
        <f t="shared" si="0"/>
        <v>Normal</v>
      </c>
    </row>
    <row r="9" spans="1:20" x14ac:dyDescent="0.3">
      <c r="A9" t="s">
        <v>21</v>
      </c>
      <c r="B9" s="3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P9">
        <f>Table1_2[[#This Row],[Quantity]]*Table1_2[[#This Row],[UnitPrice]]</f>
        <v>747.75</v>
      </c>
      <c r="Q9" t="s">
        <v>1221</v>
      </c>
      <c r="R9" t="str">
        <f t="shared" si="0"/>
        <v>Normal</v>
      </c>
    </row>
    <row r="10" spans="1:20" x14ac:dyDescent="0.3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4303</v>
      </c>
      <c r="M10" t="s">
        <v>4280</v>
      </c>
      <c r="N10">
        <v>268.56</v>
      </c>
      <c r="P10">
        <f>Table1_2[[#This Row],[Quantity]]*Table1_2[[#This Row],[UnitPrice]]</f>
        <v>268.56</v>
      </c>
      <c r="Q10" t="s">
        <v>1222</v>
      </c>
      <c r="R10" t="str">
        <f t="shared" si="0"/>
        <v>Normal</v>
      </c>
    </row>
    <row r="11" spans="1:20" x14ac:dyDescent="0.3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P11">
        <f>Table1_2[[#This Row],[Quantity]]*Table1_2[[#This Row],[UnitPrice]]</f>
        <v>2037.52</v>
      </c>
      <c r="Q11" t="s">
        <v>1223</v>
      </c>
      <c r="R11" t="str">
        <f t="shared" si="0"/>
        <v>Normal</v>
      </c>
    </row>
    <row r="12" spans="1:20" x14ac:dyDescent="0.3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  <c r="P12">
        <f>Table1_2[[#This Row],[Quantity]]*Table1_2[[#This Row],[UnitPrice]]</f>
        <v>3129.8500000000004</v>
      </c>
      <c r="Q12" t="s">
        <v>1224</v>
      </c>
      <c r="R12" t="str">
        <f t="shared" si="0"/>
        <v>Outlier</v>
      </c>
    </row>
    <row r="13" spans="1:20" x14ac:dyDescent="0.3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  <c r="P13">
        <f>Table1_2[[#This Row],[Quantity]]*Table1_2[[#This Row],[UnitPrice]]</f>
        <v>147.42000000000002</v>
      </c>
      <c r="Q13" t="s">
        <v>1225</v>
      </c>
      <c r="R13" t="str">
        <f t="shared" si="0"/>
        <v>Normal</v>
      </c>
    </row>
    <row r="14" spans="1:20" x14ac:dyDescent="0.3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  <c r="P14">
        <f>Table1_2[[#This Row],[Quantity]]*Table1_2[[#This Row],[UnitPrice]]</f>
        <v>361</v>
      </c>
      <c r="Q14" t="s">
        <v>1226</v>
      </c>
      <c r="R14" t="str">
        <f t="shared" si="0"/>
        <v>Normal</v>
      </c>
    </row>
    <row r="15" spans="1:20" x14ac:dyDescent="0.3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  <c r="P15">
        <f>Table1_2[[#This Row],[Quantity]]*Table1_2[[#This Row],[UnitPrice]]</f>
        <v>604.47</v>
      </c>
      <c r="Q15" t="s">
        <v>1227</v>
      </c>
      <c r="R15" t="str">
        <f t="shared" si="0"/>
        <v>Normal</v>
      </c>
    </row>
    <row r="16" spans="1:20" x14ac:dyDescent="0.3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  <c r="P16">
        <f>Table1_2[[#This Row],[Quantity]]*Table1_2[[#This Row],[UnitPrice]]</f>
        <v>786.66</v>
      </c>
      <c r="Q16" t="s">
        <v>1228</v>
      </c>
      <c r="R16" t="str">
        <f t="shared" si="0"/>
        <v>Normal</v>
      </c>
    </row>
    <row r="17" spans="1:18" x14ac:dyDescent="0.3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4303</v>
      </c>
      <c r="M17" t="s">
        <v>4282</v>
      </c>
      <c r="N17">
        <v>473.96</v>
      </c>
      <c r="P17">
        <f>Table1_2[[#This Row],[Quantity]]*Table1_2[[#This Row],[UnitPrice]]</f>
        <v>473.96</v>
      </c>
      <c r="Q17" t="s">
        <v>1229</v>
      </c>
      <c r="R17" t="str">
        <f t="shared" si="0"/>
        <v>Normal</v>
      </c>
    </row>
    <row r="18" spans="1:18" x14ac:dyDescent="0.3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  <c r="P18">
        <f>Table1_2[[#This Row],[Quantity]]*Table1_2[[#This Row],[UnitPrice]]</f>
        <v>1067.6199999999999</v>
      </c>
      <c r="Q18" t="s">
        <v>1230</v>
      </c>
      <c r="R18" t="str">
        <f t="shared" si="0"/>
        <v>Normal</v>
      </c>
    </row>
    <row r="19" spans="1:18" x14ac:dyDescent="0.3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4303</v>
      </c>
      <c r="M19" t="s">
        <v>4279</v>
      </c>
      <c r="N19">
        <v>423.4</v>
      </c>
      <c r="P19">
        <f>Table1_2[[#This Row],[Quantity]]*Table1_2[[#This Row],[UnitPrice]]</f>
        <v>423.4</v>
      </c>
      <c r="Q19" t="s">
        <v>1231</v>
      </c>
      <c r="R19" t="str">
        <f t="shared" si="0"/>
        <v>Normal</v>
      </c>
    </row>
    <row r="20" spans="1:18" x14ac:dyDescent="0.3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  <c r="P20">
        <f>Table1_2[[#This Row],[Quantity]]*Table1_2[[#This Row],[UnitPrice]]</f>
        <v>431.44</v>
      </c>
      <c r="Q20" t="s">
        <v>1232</v>
      </c>
      <c r="R20" t="str">
        <f t="shared" si="0"/>
        <v>Normal</v>
      </c>
    </row>
    <row r="21" spans="1:18" x14ac:dyDescent="0.3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  <c r="P21">
        <f>Table1_2[[#This Row],[Quantity]]*Table1_2[[#This Row],[UnitPrice]]</f>
        <v>1120</v>
      </c>
      <c r="Q21" t="s">
        <v>1233</v>
      </c>
      <c r="R21" t="str">
        <f t="shared" si="0"/>
        <v>Normal</v>
      </c>
    </row>
    <row r="22" spans="1:18" x14ac:dyDescent="0.3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  <c r="P22">
        <f>Table1_2[[#This Row],[Quantity]]*Table1_2[[#This Row],[UnitPrice]]</f>
        <v>312.55</v>
      </c>
      <c r="Q22" t="s">
        <v>1234</v>
      </c>
      <c r="R22" t="str">
        <f t="shared" si="0"/>
        <v>Normal</v>
      </c>
    </row>
    <row r="23" spans="1:18" x14ac:dyDescent="0.3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4303</v>
      </c>
      <c r="M23" t="s">
        <v>4282</v>
      </c>
      <c r="N23">
        <v>1371.8</v>
      </c>
      <c r="P23">
        <f>Table1_2[[#This Row],[Quantity]]*Table1_2[[#This Row],[UnitPrice]]</f>
        <v>1371.8</v>
      </c>
      <c r="Q23" t="s">
        <v>1235</v>
      </c>
      <c r="R23" t="str">
        <f t="shared" si="0"/>
        <v>Normal</v>
      </c>
    </row>
    <row r="24" spans="1:18" x14ac:dyDescent="0.3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  <c r="P24">
        <f>Table1_2[[#This Row],[Quantity]]*Table1_2[[#This Row],[UnitPrice]]</f>
        <v>99.24</v>
      </c>
      <c r="Q24" t="s">
        <v>1236</v>
      </c>
      <c r="R24" t="str">
        <f t="shared" si="0"/>
        <v>Normal</v>
      </c>
    </row>
    <row r="25" spans="1:18" x14ac:dyDescent="0.3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  <c r="P25">
        <f>Table1_2[[#This Row],[Quantity]]*Table1_2[[#This Row],[UnitPrice]]</f>
        <v>1093</v>
      </c>
      <c r="Q25" t="s">
        <v>1237</v>
      </c>
      <c r="R25" t="str">
        <f t="shared" si="0"/>
        <v>Normal</v>
      </c>
    </row>
    <row r="26" spans="1:18" x14ac:dyDescent="0.3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  <c r="P26">
        <f>Table1_2[[#This Row],[Quantity]]*Table1_2[[#This Row],[UnitPrice]]</f>
        <v>461.9</v>
      </c>
      <c r="Q26" t="s">
        <v>1238</v>
      </c>
      <c r="R26" t="str">
        <f t="shared" si="0"/>
        <v>Normal</v>
      </c>
    </row>
    <row r="27" spans="1:18" x14ac:dyDescent="0.3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  <c r="P27">
        <f>Table1_2[[#This Row],[Quantity]]*Table1_2[[#This Row],[UnitPrice]]</f>
        <v>399.98</v>
      </c>
      <c r="Q27" t="s">
        <v>1239</v>
      </c>
      <c r="R27" t="str">
        <f t="shared" si="0"/>
        <v>Normal</v>
      </c>
    </row>
    <row r="28" spans="1:18" x14ac:dyDescent="0.3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4303</v>
      </c>
      <c r="M28" t="s">
        <v>4279</v>
      </c>
      <c r="N28">
        <v>297.75</v>
      </c>
      <c r="P28">
        <f>Table1_2[[#This Row],[Quantity]]*Table1_2[[#This Row],[UnitPrice]]</f>
        <v>297.75</v>
      </c>
      <c r="Q28" t="s">
        <v>1240</v>
      </c>
      <c r="R28" t="str">
        <f t="shared" si="0"/>
        <v>Normal</v>
      </c>
    </row>
    <row r="29" spans="1:18" x14ac:dyDescent="0.3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  <c r="P29">
        <f>Table1_2[[#This Row],[Quantity]]*Table1_2[[#This Row],[UnitPrice]]</f>
        <v>472.74</v>
      </c>
      <c r="Q29" t="s">
        <v>1241</v>
      </c>
      <c r="R29" t="str">
        <f t="shared" si="0"/>
        <v>Normal</v>
      </c>
    </row>
    <row r="30" spans="1:18" x14ac:dyDescent="0.3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4303</v>
      </c>
      <c r="M30" t="s">
        <v>4280</v>
      </c>
      <c r="N30">
        <v>640.28</v>
      </c>
      <c r="P30">
        <f>Table1_2[[#This Row],[Quantity]]*Table1_2[[#This Row],[UnitPrice]]</f>
        <v>640.28</v>
      </c>
      <c r="Q30" t="s">
        <v>1242</v>
      </c>
      <c r="R30" t="str">
        <f t="shared" si="0"/>
        <v>Normal</v>
      </c>
    </row>
    <row r="31" spans="1:18" x14ac:dyDescent="0.3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  <c r="P31">
        <f>Table1_2[[#This Row],[Quantity]]*Table1_2[[#This Row],[UnitPrice]]</f>
        <v>1270.5899999999999</v>
      </c>
      <c r="Q31" t="s">
        <v>1243</v>
      </c>
      <c r="R31" t="str">
        <f t="shared" si="0"/>
        <v>Normal</v>
      </c>
    </row>
    <row r="32" spans="1:18" x14ac:dyDescent="0.3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  <c r="P32">
        <f>Table1_2[[#This Row],[Quantity]]*Table1_2[[#This Row],[UnitPrice]]</f>
        <v>853.4</v>
      </c>
      <c r="Q32" t="s">
        <v>1244</v>
      </c>
      <c r="R32" t="str">
        <f t="shared" si="0"/>
        <v>Normal</v>
      </c>
    </row>
    <row r="33" spans="1:18" x14ac:dyDescent="0.3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4303</v>
      </c>
      <c r="M33" t="s">
        <v>4281</v>
      </c>
      <c r="N33">
        <v>1500.24</v>
      </c>
      <c r="P33">
        <f>Table1_2[[#This Row],[Quantity]]*Table1_2[[#This Row],[UnitPrice]]</f>
        <v>1500.24</v>
      </c>
      <c r="Q33" t="s">
        <v>1245</v>
      </c>
      <c r="R33" t="str">
        <f t="shared" si="0"/>
        <v>Normal</v>
      </c>
    </row>
    <row r="34" spans="1:18" x14ac:dyDescent="0.3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4303</v>
      </c>
      <c r="M34" t="s">
        <v>4280</v>
      </c>
      <c r="N34">
        <v>2683.6</v>
      </c>
      <c r="P34">
        <f>Table1_2[[#This Row],[Quantity]]*Table1_2[[#This Row],[UnitPrice]]</f>
        <v>2683.6000000000004</v>
      </c>
      <c r="Q34" t="s">
        <v>1246</v>
      </c>
      <c r="R34" t="str">
        <f t="shared" si="0"/>
        <v>Outlier</v>
      </c>
    </row>
    <row r="35" spans="1:18" x14ac:dyDescent="0.3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  <c r="P35">
        <f>Table1_2[[#This Row],[Quantity]]*Table1_2[[#This Row],[UnitPrice]]</f>
        <v>162.77000000000001</v>
      </c>
      <c r="Q35" t="s">
        <v>1247</v>
      </c>
      <c r="R35" t="str">
        <f t="shared" si="0"/>
        <v>Normal</v>
      </c>
    </row>
    <row r="36" spans="1:18" x14ac:dyDescent="0.3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  <c r="P36">
        <f>Table1_2[[#This Row],[Quantity]]*Table1_2[[#This Row],[UnitPrice]]</f>
        <v>2306.08</v>
      </c>
      <c r="Q36" t="s">
        <v>1248</v>
      </c>
      <c r="R36" t="str">
        <f t="shared" si="0"/>
        <v>Outlier</v>
      </c>
    </row>
    <row r="37" spans="1:18" x14ac:dyDescent="0.3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  <c r="P37">
        <f>Table1_2[[#This Row],[Quantity]]*Table1_2[[#This Row],[UnitPrice]]</f>
        <v>930.3</v>
      </c>
      <c r="Q37" t="s">
        <v>1249</v>
      </c>
      <c r="R37" t="str">
        <f t="shared" si="0"/>
        <v>Normal</v>
      </c>
    </row>
    <row r="38" spans="1:18" x14ac:dyDescent="0.3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4303</v>
      </c>
      <c r="M38" t="s">
        <v>4281</v>
      </c>
      <c r="N38">
        <v>1068.8599999999999</v>
      </c>
      <c r="P38">
        <f>Table1_2[[#This Row],[Quantity]]*Table1_2[[#This Row],[UnitPrice]]</f>
        <v>1068.8599999999999</v>
      </c>
      <c r="Q38" t="s">
        <v>1250</v>
      </c>
      <c r="R38" t="str">
        <f t="shared" si="0"/>
        <v>Normal</v>
      </c>
    </row>
    <row r="39" spans="1:18" x14ac:dyDescent="0.3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  <c r="P39">
        <f>Table1_2[[#This Row],[Quantity]]*Table1_2[[#This Row],[UnitPrice]]</f>
        <v>153.47999999999999</v>
      </c>
      <c r="Q39" t="s">
        <v>1251</v>
      </c>
      <c r="R39" t="str">
        <f t="shared" si="0"/>
        <v>Normal</v>
      </c>
    </row>
    <row r="40" spans="1:18" x14ac:dyDescent="0.3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  <c r="P40">
        <f>Table1_2[[#This Row],[Quantity]]*Table1_2[[#This Row],[UnitPrice]]</f>
        <v>245.89</v>
      </c>
      <c r="Q40" t="s">
        <v>1252</v>
      </c>
      <c r="R40" t="str">
        <f t="shared" si="0"/>
        <v>Normal</v>
      </c>
    </row>
    <row r="41" spans="1:18" x14ac:dyDescent="0.3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  <c r="P41">
        <f>Table1_2[[#This Row],[Quantity]]*Table1_2[[#This Row],[UnitPrice]]</f>
        <v>769.37999999999988</v>
      </c>
      <c r="Q41" t="s">
        <v>1253</v>
      </c>
      <c r="R41" t="str">
        <f t="shared" si="0"/>
        <v>Normal</v>
      </c>
    </row>
    <row r="42" spans="1:18" x14ac:dyDescent="0.3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  <c r="P42">
        <f>Table1_2[[#This Row],[Quantity]]*Table1_2[[#This Row],[UnitPrice]]</f>
        <v>688.04</v>
      </c>
      <c r="Q42" t="s">
        <v>1254</v>
      </c>
      <c r="R42" t="str">
        <f t="shared" si="0"/>
        <v>Normal</v>
      </c>
    </row>
    <row r="43" spans="1:18" x14ac:dyDescent="0.3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  <c r="P43">
        <f>Table1_2[[#This Row],[Quantity]]*Table1_2[[#This Row],[UnitPrice]]</f>
        <v>1834.3500000000001</v>
      </c>
      <c r="Q43" t="s">
        <v>1255</v>
      </c>
      <c r="R43" t="str">
        <f t="shared" si="0"/>
        <v>Normal</v>
      </c>
    </row>
    <row r="44" spans="1:18" x14ac:dyDescent="0.3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4303</v>
      </c>
      <c r="M44" t="s">
        <v>4278</v>
      </c>
      <c r="N44">
        <v>303.32</v>
      </c>
      <c r="P44">
        <f>Table1_2[[#This Row],[Quantity]]*Table1_2[[#This Row],[UnitPrice]]</f>
        <v>303.32</v>
      </c>
      <c r="Q44" t="s">
        <v>1256</v>
      </c>
      <c r="R44" t="str">
        <f t="shared" si="0"/>
        <v>Normal</v>
      </c>
    </row>
    <row r="45" spans="1:18" x14ac:dyDescent="0.3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4303</v>
      </c>
      <c r="M45" t="s">
        <v>4278</v>
      </c>
      <c r="N45">
        <v>1497.63</v>
      </c>
      <c r="P45">
        <f>Table1_2[[#This Row],[Quantity]]*Table1_2[[#This Row],[UnitPrice]]</f>
        <v>1497.6299999999999</v>
      </c>
      <c r="Q45" t="s">
        <v>1257</v>
      </c>
      <c r="R45" t="str">
        <f t="shared" si="0"/>
        <v>Normal</v>
      </c>
    </row>
    <row r="46" spans="1:18" x14ac:dyDescent="0.3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  <c r="P46">
        <f>Table1_2[[#This Row],[Quantity]]*Table1_2[[#This Row],[UnitPrice]]</f>
        <v>1100.3599999999999</v>
      </c>
      <c r="Q46" t="s">
        <v>1258</v>
      </c>
      <c r="R46" t="str">
        <f t="shared" si="0"/>
        <v>Normal</v>
      </c>
    </row>
    <row r="47" spans="1:18" x14ac:dyDescent="0.3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  <c r="P47">
        <f>Table1_2[[#This Row],[Quantity]]*Table1_2[[#This Row],[UnitPrice]]</f>
        <v>317.25</v>
      </c>
      <c r="Q47" t="s">
        <v>1259</v>
      </c>
      <c r="R47" t="str">
        <f t="shared" si="0"/>
        <v>Normal</v>
      </c>
    </row>
    <row r="48" spans="1:18" x14ac:dyDescent="0.3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  <c r="P48">
        <f>Table1_2[[#This Row],[Quantity]]*Table1_2[[#This Row],[UnitPrice]]</f>
        <v>2200.56</v>
      </c>
      <c r="Q48" t="s">
        <v>1260</v>
      </c>
      <c r="R48" t="str">
        <f t="shared" si="0"/>
        <v>Outlier</v>
      </c>
    </row>
    <row r="49" spans="1:18" x14ac:dyDescent="0.3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  <c r="P49">
        <f>Table1_2[[#This Row],[Quantity]]*Table1_2[[#This Row],[UnitPrice]]</f>
        <v>419.88</v>
      </c>
      <c r="Q49" t="s">
        <v>1261</v>
      </c>
      <c r="R49" t="str">
        <f t="shared" si="0"/>
        <v>Normal</v>
      </c>
    </row>
    <row r="50" spans="1:18" x14ac:dyDescent="0.3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4303</v>
      </c>
      <c r="M50" t="s">
        <v>4282</v>
      </c>
      <c r="N50">
        <v>161.54</v>
      </c>
      <c r="P50">
        <f>Table1_2[[#This Row],[Quantity]]*Table1_2[[#This Row],[UnitPrice]]</f>
        <v>161.54</v>
      </c>
      <c r="Q50" t="s">
        <v>1262</v>
      </c>
      <c r="R50" t="str">
        <f t="shared" si="0"/>
        <v>Normal</v>
      </c>
    </row>
    <row r="51" spans="1:18" x14ac:dyDescent="0.3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  <c r="P51">
        <f>Table1_2[[#This Row],[Quantity]]*Table1_2[[#This Row],[UnitPrice]]</f>
        <v>30.44</v>
      </c>
      <c r="Q51" t="s">
        <v>1263</v>
      </c>
      <c r="R51" t="str">
        <f t="shared" si="0"/>
        <v>Normal</v>
      </c>
    </row>
    <row r="52" spans="1:18" x14ac:dyDescent="0.3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  <c r="P52">
        <f>Table1_2[[#This Row],[Quantity]]*Table1_2[[#This Row],[UnitPrice]]</f>
        <v>179.22</v>
      </c>
      <c r="Q52" t="s">
        <v>1264</v>
      </c>
      <c r="R52" t="str">
        <f t="shared" si="0"/>
        <v>Normal</v>
      </c>
    </row>
    <row r="53" spans="1:18" x14ac:dyDescent="0.3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  <c r="P53">
        <f>Table1_2[[#This Row],[Quantity]]*Table1_2[[#This Row],[UnitPrice]]</f>
        <v>388.33</v>
      </c>
      <c r="Q53" t="s">
        <v>1265</v>
      </c>
      <c r="R53" t="str">
        <f t="shared" si="0"/>
        <v>Normal</v>
      </c>
    </row>
    <row r="54" spans="1:18" x14ac:dyDescent="0.3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  <c r="P54">
        <f>Table1_2[[#This Row],[Quantity]]*Table1_2[[#This Row],[UnitPrice]]</f>
        <v>586.44000000000005</v>
      </c>
      <c r="Q54" t="s">
        <v>1266</v>
      </c>
      <c r="R54" t="str">
        <f t="shared" si="0"/>
        <v>Normal</v>
      </c>
    </row>
    <row r="55" spans="1:18" x14ac:dyDescent="0.3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  <c r="P55">
        <f>Table1_2[[#This Row],[Quantity]]*Table1_2[[#This Row],[UnitPrice]]</f>
        <v>1955.12</v>
      </c>
      <c r="Q55" t="s">
        <v>1267</v>
      </c>
      <c r="R55" t="str">
        <f t="shared" si="0"/>
        <v>Normal</v>
      </c>
    </row>
    <row r="56" spans="1:18" x14ac:dyDescent="0.3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  <c r="P56">
        <f>Table1_2[[#This Row],[Quantity]]*Table1_2[[#This Row],[UnitPrice]]</f>
        <v>280.25</v>
      </c>
      <c r="Q56" t="s">
        <v>1268</v>
      </c>
      <c r="R56" t="str">
        <f t="shared" si="0"/>
        <v>Normal</v>
      </c>
    </row>
    <row r="57" spans="1:18" x14ac:dyDescent="0.3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4303</v>
      </c>
      <c r="M57" t="s">
        <v>4281</v>
      </c>
      <c r="N57">
        <v>1033.2</v>
      </c>
      <c r="P57">
        <f>Table1_2[[#This Row],[Quantity]]*Table1_2[[#This Row],[UnitPrice]]</f>
        <v>1033.1999999999998</v>
      </c>
      <c r="Q57" t="s">
        <v>1269</v>
      </c>
      <c r="R57" t="str">
        <f t="shared" si="0"/>
        <v>Normal</v>
      </c>
    </row>
    <row r="58" spans="1:18" x14ac:dyDescent="0.3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  <c r="P58">
        <f>Table1_2[[#This Row],[Quantity]]*Table1_2[[#This Row],[UnitPrice]]</f>
        <v>1437.6299999999999</v>
      </c>
      <c r="Q58" t="s">
        <v>1270</v>
      </c>
      <c r="R58" t="str">
        <f t="shared" si="0"/>
        <v>Normal</v>
      </c>
    </row>
    <row r="59" spans="1:18" x14ac:dyDescent="0.3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  <c r="P59">
        <f>Table1_2[[#This Row],[Quantity]]*Table1_2[[#This Row],[UnitPrice]]</f>
        <v>1571.35</v>
      </c>
      <c r="Q59" t="s">
        <v>1271</v>
      </c>
      <c r="R59" t="str">
        <f t="shared" si="0"/>
        <v>Normal</v>
      </c>
    </row>
    <row r="60" spans="1:18" x14ac:dyDescent="0.3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  <c r="P60">
        <f>Table1_2[[#This Row],[Quantity]]*Table1_2[[#This Row],[UnitPrice]]</f>
        <v>1898.76</v>
      </c>
      <c r="Q60" t="s">
        <v>1272</v>
      </c>
      <c r="R60" t="str">
        <f t="shared" si="0"/>
        <v>Normal</v>
      </c>
    </row>
    <row r="61" spans="1:18" x14ac:dyDescent="0.3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4303</v>
      </c>
      <c r="M61" t="s">
        <v>4281</v>
      </c>
      <c r="N61">
        <v>2373.08</v>
      </c>
      <c r="P61">
        <f>Table1_2[[#This Row],[Quantity]]*Table1_2[[#This Row],[UnitPrice]]</f>
        <v>2373.08</v>
      </c>
      <c r="Q61" t="s">
        <v>1273</v>
      </c>
      <c r="R61" t="str">
        <f t="shared" si="0"/>
        <v>Outlier</v>
      </c>
    </row>
    <row r="62" spans="1:18" x14ac:dyDescent="0.3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  <c r="P62">
        <f>Table1_2[[#This Row],[Quantity]]*Table1_2[[#This Row],[UnitPrice]]</f>
        <v>417.1</v>
      </c>
      <c r="Q62" t="s">
        <v>1274</v>
      </c>
      <c r="R62" t="str">
        <f t="shared" si="0"/>
        <v>Normal</v>
      </c>
    </row>
    <row r="63" spans="1:18" x14ac:dyDescent="0.3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  <c r="P63">
        <f>Table1_2[[#This Row],[Quantity]]*Table1_2[[#This Row],[UnitPrice]]</f>
        <v>488.8</v>
      </c>
      <c r="Q63" t="s">
        <v>1275</v>
      </c>
      <c r="R63" t="str">
        <f t="shared" si="0"/>
        <v>Normal</v>
      </c>
    </row>
    <row r="64" spans="1:18" x14ac:dyDescent="0.3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  <c r="P64">
        <f>Table1_2[[#This Row],[Quantity]]*Table1_2[[#This Row],[UnitPrice]]</f>
        <v>86.3</v>
      </c>
      <c r="Q64" t="s">
        <v>1276</v>
      </c>
      <c r="R64" t="str">
        <f t="shared" si="0"/>
        <v>Normal</v>
      </c>
    </row>
    <row r="65" spans="1:18" x14ac:dyDescent="0.3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  <c r="P65">
        <f>Table1_2[[#This Row],[Quantity]]*Table1_2[[#This Row],[UnitPrice]]</f>
        <v>564.86</v>
      </c>
      <c r="Q65" t="s">
        <v>1277</v>
      </c>
      <c r="R65" t="str">
        <f t="shared" si="0"/>
        <v>Normal</v>
      </c>
    </row>
    <row r="66" spans="1:18" x14ac:dyDescent="0.3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  <c r="P66">
        <f>Table1_2[[#This Row],[Quantity]]*Table1_2[[#This Row],[UnitPrice]]</f>
        <v>391.83000000000004</v>
      </c>
      <c r="Q66" t="s">
        <v>1278</v>
      </c>
      <c r="R66" t="str">
        <f t="shared" si="0"/>
        <v>Normal</v>
      </c>
    </row>
    <row r="67" spans="1:18" x14ac:dyDescent="0.3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4303</v>
      </c>
      <c r="M67" t="s">
        <v>4278</v>
      </c>
      <c r="N67">
        <v>408.5</v>
      </c>
      <c r="P67">
        <f>Table1_2[[#This Row],[Quantity]]*Table1_2[[#This Row],[UnitPrice]]</f>
        <v>408.5</v>
      </c>
      <c r="Q67" t="s">
        <v>1279</v>
      </c>
      <c r="R67" t="str">
        <f t="shared" ref="R67:R130" si="1">IF(OR(N67&lt;$S$2-1.5*($T$2-$S$2),N67&gt;$S$2+1.5*($T$2-$S$2)), "Outlier", "Normal")</f>
        <v>Normal</v>
      </c>
    </row>
    <row r="68" spans="1:18" x14ac:dyDescent="0.3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  <c r="P68">
        <f>Table1_2[[#This Row],[Quantity]]*Table1_2[[#This Row],[UnitPrice]]</f>
        <v>635.90000000000009</v>
      </c>
      <c r="Q68" t="s">
        <v>1280</v>
      </c>
      <c r="R68" t="str">
        <f t="shared" si="1"/>
        <v>Normal</v>
      </c>
    </row>
    <row r="69" spans="1:18" x14ac:dyDescent="0.3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4303</v>
      </c>
      <c r="M69" t="s">
        <v>4282</v>
      </c>
      <c r="N69">
        <v>48.4</v>
      </c>
      <c r="P69">
        <f>Table1_2[[#This Row],[Quantity]]*Table1_2[[#This Row],[UnitPrice]]</f>
        <v>48.4</v>
      </c>
      <c r="Q69" t="s">
        <v>1281</v>
      </c>
      <c r="R69" t="str">
        <f t="shared" si="1"/>
        <v>Normal</v>
      </c>
    </row>
    <row r="70" spans="1:18" x14ac:dyDescent="0.3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  <c r="P70">
        <f>Table1_2[[#This Row],[Quantity]]*Table1_2[[#This Row],[UnitPrice]]</f>
        <v>1472.76</v>
      </c>
      <c r="Q70" t="s">
        <v>1282</v>
      </c>
      <c r="R70" t="str">
        <f t="shared" si="1"/>
        <v>Normal</v>
      </c>
    </row>
    <row r="71" spans="1:18" x14ac:dyDescent="0.3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4303</v>
      </c>
      <c r="M71" t="s">
        <v>4279</v>
      </c>
      <c r="N71">
        <v>1435.95</v>
      </c>
      <c r="P71">
        <f>Table1_2[[#This Row],[Quantity]]*Table1_2[[#This Row],[UnitPrice]]</f>
        <v>1435.9499999999998</v>
      </c>
      <c r="Q71" t="s">
        <v>1283</v>
      </c>
      <c r="R71" t="str">
        <f t="shared" si="1"/>
        <v>Normal</v>
      </c>
    </row>
    <row r="72" spans="1:18" x14ac:dyDescent="0.3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  <c r="P72">
        <f>Table1_2[[#This Row],[Quantity]]*Table1_2[[#This Row],[UnitPrice]]</f>
        <v>629.21</v>
      </c>
      <c r="Q72" t="s">
        <v>1284</v>
      </c>
      <c r="R72" t="str">
        <f t="shared" si="1"/>
        <v>Normal</v>
      </c>
    </row>
    <row r="73" spans="1:18" x14ac:dyDescent="0.3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4303</v>
      </c>
      <c r="M73" t="s">
        <v>4279</v>
      </c>
      <c r="N73">
        <v>1303.3499999999999</v>
      </c>
      <c r="P73">
        <f>Table1_2[[#This Row],[Quantity]]*Table1_2[[#This Row],[UnitPrice]]</f>
        <v>1303.3499999999999</v>
      </c>
      <c r="Q73" t="s">
        <v>1285</v>
      </c>
      <c r="R73" t="str">
        <f t="shared" si="1"/>
        <v>Normal</v>
      </c>
    </row>
    <row r="74" spans="1:18" x14ac:dyDescent="0.3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4303</v>
      </c>
      <c r="M74" t="s">
        <v>4281</v>
      </c>
      <c r="N74">
        <v>2357.7600000000002</v>
      </c>
      <c r="P74">
        <f>Table1_2[[#This Row],[Quantity]]*Table1_2[[#This Row],[UnitPrice]]</f>
        <v>2357.7600000000002</v>
      </c>
      <c r="Q74" t="s">
        <v>1286</v>
      </c>
      <c r="R74" t="str">
        <f t="shared" si="1"/>
        <v>Outlier</v>
      </c>
    </row>
    <row r="75" spans="1:18" x14ac:dyDescent="0.3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4303</v>
      </c>
      <c r="M75" t="s">
        <v>4281</v>
      </c>
      <c r="N75">
        <v>1733.8</v>
      </c>
      <c r="P75">
        <f>Table1_2[[#This Row],[Quantity]]*Table1_2[[#This Row],[UnitPrice]]</f>
        <v>1733.8</v>
      </c>
      <c r="Q75" t="s">
        <v>1287</v>
      </c>
      <c r="R75" t="str">
        <f t="shared" si="1"/>
        <v>Normal</v>
      </c>
    </row>
    <row r="76" spans="1:18" x14ac:dyDescent="0.3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4303</v>
      </c>
      <c r="M76" t="s">
        <v>4278</v>
      </c>
      <c r="N76">
        <v>454.35</v>
      </c>
      <c r="P76">
        <f>Table1_2[[#This Row],[Quantity]]*Table1_2[[#This Row],[UnitPrice]]</f>
        <v>454.35</v>
      </c>
      <c r="Q76" t="s">
        <v>1288</v>
      </c>
      <c r="R76" t="str">
        <f t="shared" si="1"/>
        <v>Normal</v>
      </c>
    </row>
    <row r="77" spans="1:18" x14ac:dyDescent="0.3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  <c r="P77">
        <f>Table1_2[[#This Row],[Quantity]]*Table1_2[[#This Row],[UnitPrice]]</f>
        <v>1194.51</v>
      </c>
      <c r="Q77" t="s">
        <v>1289</v>
      </c>
      <c r="R77" t="str">
        <f t="shared" si="1"/>
        <v>Normal</v>
      </c>
    </row>
    <row r="78" spans="1:18" x14ac:dyDescent="0.3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  <c r="P78">
        <f>Table1_2[[#This Row],[Quantity]]*Table1_2[[#This Row],[UnitPrice]]</f>
        <v>1531.52</v>
      </c>
      <c r="Q78" t="s">
        <v>1290</v>
      </c>
      <c r="R78" t="str">
        <f t="shared" si="1"/>
        <v>Normal</v>
      </c>
    </row>
    <row r="79" spans="1:18" x14ac:dyDescent="0.3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4303</v>
      </c>
      <c r="M79" t="s">
        <v>4282</v>
      </c>
      <c r="N79">
        <v>583.17999999999995</v>
      </c>
      <c r="P79">
        <f>Table1_2[[#This Row],[Quantity]]*Table1_2[[#This Row],[UnitPrice]]</f>
        <v>583.17999999999995</v>
      </c>
      <c r="Q79" t="s">
        <v>1291</v>
      </c>
      <c r="R79" t="str">
        <f t="shared" si="1"/>
        <v>Normal</v>
      </c>
    </row>
    <row r="80" spans="1:18" x14ac:dyDescent="0.3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  <c r="P80">
        <f>Table1_2[[#This Row],[Quantity]]*Table1_2[[#This Row],[UnitPrice]]</f>
        <v>701.44</v>
      </c>
      <c r="Q80" t="s">
        <v>1292</v>
      </c>
      <c r="R80" t="str">
        <f t="shared" si="1"/>
        <v>Normal</v>
      </c>
    </row>
    <row r="81" spans="1:18" x14ac:dyDescent="0.3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4303</v>
      </c>
      <c r="M81" t="s">
        <v>4281</v>
      </c>
      <c r="N81">
        <v>623.82000000000005</v>
      </c>
      <c r="P81">
        <f>Table1_2[[#This Row],[Quantity]]*Table1_2[[#This Row],[UnitPrice]]</f>
        <v>623.82000000000005</v>
      </c>
      <c r="Q81" t="s">
        <v>1293</v>
      </c>
      <c r="R81" t="str">
        <f t="shared" si="1"/>
        <v>Normal</v>
      </c>
    </row>
    <row r="82" spans="1:18" x14ac:dyDescent="0.3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4303</v>
      </c>
      <c r="M82" t="s">
        <v>4281</v>
      </c>
      <c r="N82">
        <v>1768.68</v>
      </c>
      <c r="P82">
        <f>Table1_2[[#This Row],[Quantity]]*Table1_2[[#This Row],[UnitPrice]]</f>
        <v>1768.6799999999998</v>
      </c>
      <c r="Q82" t="s">
        <v>1294</v>
      </c>
      <c r="R82" t="str">
        <f t="shared" si="1"/>
        <v>Normal</v>
      </c>
    </row>
    <row r="83" spans="1:18" x14ac:dyDescent="0.3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  <c r="P83">
        <f>Table1_2[[#This Row],[Quantity]]*Table1_2[[#This Row],[UnitPrice]]</f>
        <v>788.6</v>
      </c>
      <c r="Q83" t="s">
        <v>1295</v>
      </c>
      <c r="R83" t="str">
        <f t="shared" si="1"/>
        <v>Normal</v>
      </c>
    </row>
    <row r="84" spans="1:18" x14ac:dyDescent="0.3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  <c r="P84">
        <f>Table1_2[[#This Row],[Quantity]]*Table1_2[[#This Row],[UnitPrice]]</f>
        <v>2260.8000000000002</v>
      </c>
      <c r="Q84" t="s">
        <v>1296</v>
      </c>
      <c r="R84" t="str">
        <f t="shared" si="1"/>
        <v>Outlier</v>
      </c>
    </row>
    <row r="85" spans="1:18" x14ac:dyDescent="0.3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4303</v>
      </c>
      <c r="M85" t="s">
        <v>4279</v>
      </c>
      <c r="N85">
        <v>2161.64</v>
      </c>
      <c r="P85">
        <f>Table1_2[[#This Row],[Quantity]]*Table1_2[[#This Row],[UnitPrice]]</f>
        <v>2161.64</v>
      </c>
      <c r="Q85" t="s">
        <v>1297</v>
      </c>
      <c r="R85" t="str">
        <f t="shared" si="1"/>
        <v>Normal</v>
      </c>
    </row>
    <row r="86" spans="1:18" x14ac:dyDescent="0.3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  <c r="P86">
        <f>Table1_2[[#This Row],[Quantity]]*Table1_2[[#This Row],[UnitPrice]]</f>
        <v>330.98</v>
      </c>
      <c r="Q86" t="s">
        <v>1298</v>
      </c>
      <c r="R86" t="str">
        <f t="shared" si="1"/>
        <v>Normal</v>
      </c>
    </row>
    <row r="87" spans="1:18" x14ac:dyDescent="0.3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  <c r="P87">
        <f>Table1_2[[#This Row],[Quantity]]*Table1_2[[#This Row],[UnitPrice]]</f>
        <v>440.18999999999994</v>
      </c>
      <c r="Q87" t="s">
        <v>1299</v>
      </c>
      <c r="R87" t="str">
        <f t="shared" si="1"/>
        <v>Normal</v>
      </c>
    </row>
    <row r="88" spans="1:18" x14ac:dyDescent="0.3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  <c r="P88">
        <f>Table1_2[[#This Row],[Quantity]]*Table1_2[[#This Row],[UnitPrice]]</f>
        <v>3215.1499999999996</v>
      </c>
      <c r="Q88" t="s">
        <v>1300</v>
      </c>
      <c r="R88" t="str">
        <f t="shared" si="1"/>
        <v>Outlier</v>
      </c>
    </row>
    <row r="89" spans="1:18" x14ac:dyDescent="0.3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  <c r="P89">
        <f>Table1_2[[#This Row],[Quantity]]*Table1_2[[#This Row],[UnitPrice]]</f>
        <v>675.33</v>
      </c>
      <c r="Q89" t="s">
        <v>1301</v>
      </c>
      <c r="R89" t="str">
        <f t="shared" si="1"/>
        <v>Normal</v>
      </c>
    </row>
    <row r="90" spans="1:18" x14ac:dyDescent="0.3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4303</v>
      </c>
      <c r="M90" t="s">
        <v>4282</v>
      </c>
      <c r="N90">
        <v>344.43</v>
      </c>
      <c r="P90">
        <f>Table1_2[[#This Row],[Quantity]]*Table1_2[[#This Row],[UnitPrice]]</f>
        <v>344.43</v>
      </c>
      <c r="Q90" t="s">
        <v>1302</v>
      </c>
      <c r="R90" t="str">
        <f t="shared" si="1"/>
        <v>Normal</v>
      </c>
    </row>
    <row r="91" spans="1:18" x14ac:dyDescent="0.3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  <c r="P91">
        <f>Table1_2[[#This Row],[Quantity]]*Table1_2[[#This Row],[UnitPrice]]</f>
        <v>2276.65</v>
      </c>
      <c r="Q91" t="s">
        <v>1303</v>
      </c>
      <c r="R91" t="str">
        <f t="shared" si="1"/>
        <v>Outlier</v>
      </c>
    </row>
    <row r="92" spans="1:18" x14ac:dyDescent="0.3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  <c r="P92">
        <f>Table1_2[[#This Row],[Quantity]]*Table1_2[[#This Row],[UnitPrice]]</f>
        <v>728.32</v>
      </c>
      <c r="Q92" t="s">
        <v>1304</v>
      </c>
      <c r="R92" t="str">
        <f t="shared" si="1"/>
        <v>Normal</v>
      </c>
    </row>
    <row r="93" spans="1:18" x14ac:dyDescent="0.3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  <c r="P93">
        <f>Table1_2[[#This Row],[Quantity]]*Table1_2[[#This Row],[UnitPrice]]</f>
        <v>2463.75</v>
      </c>
      <c r="Q93" t="s">
        <v>1305</v>
      </c>
      <c r="R93" t="str">
        <f t="shared" si="1"/>
        <v>Outlier</v>
      </c>
    </row>
    <row r="94" spans="1:18" x14ac:dyDescent="0.3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  <c r="P94">
        <f>Table1_2[[#This Row],[Quantity]]*Table1_2[[#This Row],[UnitPrice]]</f>
        <v>194.44</v>
      </c>
      <c r="Q94" t="s">
        <v>1306</v>
      </c>
      <c r="R94" t="str">
        <f t="shared" si="1"/>
        <v>Normal</v>
      </c>
    </row>
    <row r="95" spans="1:18" x14ac:dyDescent="0.3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4303</v>
      </c>
      <c r="M95" t="s">
        <v>4279</v>
      </c>
      <c r="N95">
        <v>1724.04</v>
      </c>
      <c r="P95">
        <f>Table1_2[[#This Row],[Quantity]]*Table1_2[[#This Row],[UnitPrice]]</f>
        <v>1724.04</v>
      </c>
      <c r="Q95" t="s">
        <v>1307</v>
      </c>
      <c r="R95" t="str">
        <f t="shared" si="1"/>
        <v>Normal</v>
      </c>
    </row>
    <row r="96" spans="1:18" x14ac:dyDescent="0.3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  <c r="P96">
        <f>Table1_2[[#This Row],[Quantity]]*Table1_2[[#This Row],[UnitPrice]]</f>
        <v>531.17999999999995</v>
      </c>
      <c r="Q96" t="s">
        <v>1308</v>
      </c>
      <c r="R96" t="str">
        <f t="shared" si="1"/>
        <v>Normal</v>
      </c>
    </row>
    <row r="97" spans="1:18" x14ac:dyDescent="0.3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4303</v>
      </c>
      <c r="M97" t="s">
        <v>4279</v>
      </c>
      <c r="N97">
        <v>470.04</v>
      </c>
      <c r="P97">
        <f>Table1_2[[#This Row],[Quantity]]*Table1_2[[#This Row],[UnitPrice]]</f>
        <v>470.04</v>
      </c>
      <c r="Q97" t="s">
        <v>1309</v>
      </c>
      <c r="R97" t="str">
        <f t="shared" si="1"/>
        <v>Normal</v>
      </c>
    </row>
    <row r="98" spans="1:18" x14ac:dyDescent="0.3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4303</v>
      </c>
      <c r="M98" t="s">
        <v>4278</v>
      </c>
      <c r="N98">
        <v>465.66</v>
      </c>
      <c r="P98">
        <f>Table1_2[[#This Row],[Quantity]]*Table1_2[[#This Row],[UnitPrice]]</f>
        <v>465.66</v>
      </c>
      <c r="Q98" t="s">
        <v>1310</v>
      </c>
      <c r="R98" t="str">
        <f t="shared" si="1"/>
        <v>Normal</v>
      </c>
    </row>
    <row r="99" spans="1:18" x14ac:dyDescent="0.3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4303</v>
      </c>
      <c r="M99" t="s">
        <v>4280</v>
      </c>
      <c r="N99">
        <v>3097.6</v>
      </c>
      <c r="P99">
        <f>Table1_2[[#This Row],[Quantity]]*Table1_2[[#This Row],[UnitPrice]]</f>
        <v>3097.6</v>
      </c>
      <c r="Q99" t="s">
        <v>1311</v>
      </c>
      <c r="R99" t="str">
        <f t="shared" si="1"/>
        <v>Outlier</v>
      </c>
    </row>
    <row r="100" spans="1:18" x14ac:dyDescent="0.3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4303</v>
      </c>
      <c r="M100" t="s">
        <v>4280</v>
      </c>
      <c r="N100">
        <v>457.08</v>
      </c>
      <c r="P100">
        <f>Table1_2[[#This Row],[Quantity]]*Table1_2[[#This Row],[UnitPrice]]</f>
        <v>457.08</v>
      </c>
      <c r="Q100" t="s">
        <v>1312</v>
      </c>
      <c r="R100" t="str">
        <f t="shared" si="1"/>
        <v>Normal</v>
      </c>
    </row>
    <row r="101" spans="1:18" x14ac:dyDescent="0.3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  <c r="P101">
        <f>Table1_2[[#This Row],[Quantity]]*Table1_2[[#This Row],[UnitPrice]]</f>
        <v>201.58</v>
      </c>
      <c r="Q101" t="s">
        <v>1313</v>
      </c>
      <c r="R101" t="str">
        <f t="shared" si="1"/>
        <v>Normal</v>
      </c>
    </row>
    <row r="102" spans="1:18" x14ac:dyDescent="0.3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4303</v>
      </c>
      <c r="M102" t="s">
        <v>4281</v>
      </c>
      <c r="N102">
        <v>1994.37</v>
      </c>
      <c r="P102">
        <f>Table1_2[[#This Row],[Quantity]]*Table1_2[[#This Row],[UnitPrice]]</f>
        <v>1994.37</v>
      </c>
      <c r="Q102" t="s">
        <v>1314</v>
      </c>
      <c r="R102" t="str">
        <f t="shared" si="1"/>
        <v>Normal</v>
      </c>
    </row>
    <row r="103" spans="1:18" x14ac:dyDescent="0.3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4303</v>
      </c>
      <c r="M103" t="s">
        <v>4282</v>
      </c>
      <c r="N103">
        <v>381.02</v>
      </c>
      <c r="P103">
        <f>Table1_2[[#This Row],[Quantity]]*Table1_2[[#This Row],[UnitPrice]]</f>
        <v>381.02</v>
      </c>
      <c r="Q103" t="s">
        <v>1315</v>
      </c>
      <c r="R103" t="str">
        <f t="shared" si="1"/>
        <v>Normal</v>
      </c>
    </row>
    <row r="104" spans="1:18" x14ac:dyDescent="0.3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  <c r="P104">
        <f>Table1_2[[#This Row],[Quantity]]*Table1_2[[#This Row],[UnitPrice]]</f>
        <v>140.68</v>
      </c>
      <c r="Q104" t="s">
        <v>1316</v>
      </c>
      <c r="R104" t="str">
        <f t="shared" si="1"/>
        <v>Normal</v>
      </c>
    </row>
    <row r="105" spans="1:18" x14ac:dyDescent="0.3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  <c r="P105">
        <f>Table1_2[[#This Row],[Quantity]]*Table1_2[[#This Row],[UnitPrice]]</f>
        <v>873.72</v>
      </c>
      <c r="Q105" t="s">
        <v>1317</v>
      </c>
      <c r="R105" t="str">
        <f t="shared" si="1"/>
        <v>Normal</v>
      </c>
    </row>
    <row r="106" spans="1:18" x14ac:dyDescent="0.3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  <c r="P106">
        <f>Table1_2[[#This Row],[Quantity]]*Table1_2[[#This Row],[UnitPrice]]</f>
        <v>582.04</v>
      </c>
      <c r="Q106" t="s">
        <v>1318</v>
      </c>
      <c r="R106" t="str">
        <f t="shared" si="1"/>
        <v>Normal</v>
      </c>
    </row>
    <row r="107" spans="1:18" x14ac:dyDescent="0.3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4303</v>
      </c>
      <c r="M107" t="s">
        <v>4281</v>
      </c>
      <c r="N107">
        <v>556.20000000000005</v>
      </c>
      <c r="P107">
        <f>Table1_2[[#This Row],[Quantity]]*Table1_2[[#This Row],[UnitPrice]]</f>
        <v>556.20000000000005</v>
      </c>
      <c r="Q107" t="s">
        <v>1319</v>
      </c>
      <c r="R107" t="str">
        <f t="shared" si="1"/>
        <v>Normal</v>
      </c>
    </row>
    <row r="108" spans="1:18" x14ac:dyDescent="0.3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  <c r="P108">
        <f>Table1_2[[#This Row],[Quantity]]*Table1_2[[#This Row],[UnitPrice]]</f>
        <v>1395.15</v>
      </c>
      <c r="Q108" t="s">
        <v>1320</v>
      </c>
      <c r="R108" t="str">
        <f t="shared" si="1"/>
        <v>Normal</v>
      </c>
    </row>
    <row r="109" spans="1:18" x14ac:dyDescent="0.3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  <c r="P109">
        <f>Table1_2[[#This Row],[Quantity]]*Table1_2[[#This Row],[UnitPrice]]</f>
        <v>3353.75</v>
      </c>
      <c r="Q109" t="s">
        <v>1321</v>
      </c>
      <c r="R109" t="str">
        <f t="shared" si="1"/>
        <v>Outlier</v>
      </c>
    </row>
    <row r="110" spans="1:18" x14ac:dyDescent="0.3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  <c r="P110">
        <f>Table1_2[[#This Row],[Quantity]]*Table1_2[[#This Row],[UnitPrice]]</f>
        <v>241.9</v>
      </c>
      <c r="Q110" t="s">
        <v>1322</v>
      </c>
      <c r="R110" t="str">
        <f t="shared" si="1"/>
        <v>Normal</v>
      </c>
    </row>
    <row r="111" spans="1:18" x14ac:dyDescent="0.3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  <c r="P111">
        <f>Table1_2[[#This Row],[Quantity]]*Table1_2[[#This Row],[UnitPrice]]</f>
        <v>1778.6100000000001</v>
      </c>
      <c r="Q111" t="s">
        <v>1323</v>
      </c>
      <c r="R111" t="str">
        <f t="shared" si="1"/>
        <v>Normal</v>
      </c>
    </row>
    <row r="112" spans="1:18" x14ac:dyDescent="0.3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  <c r="P112">
        <f>Table1_2[[#This Row],[Quantity]]*Table1_2[[#This Row],[UnitPrice]]</f>
        <v>220.77</v>
      </c>
      <c r="Q112" t="s">
        <v>1324</v>
      </c>
      <c r="R112" t="str">
        <f t="shared" si="1"/>
        <v>Normal</v>
      </c>
    </row>
    <row r="113" spans="1:18" x14ac:dyDescent="0.3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  <c r="P113">
        <f>Table1_2[[#This Row],[Quantity]]*Table1_2[[#This Row],[UnitPrice]]</f>
        <v>927.66000000000008</v>
      </c>
      <c r="Q113" t="s">
        <v>1325</v>
      </c>
      <c r="R113" t="str">
        <f t="shared" si="1"/>
        <v>Normal</v>
      </c>
    </row>
    <row r="114" spans="1:18" x14ac:dyDescent="0.3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  <c r="P114">
        <f>Table1_2[[#This Row],[Quantity]]*Table1_2[[#This Row],[UnitPrice]]</f>
        <v>410.6</v>
      </c>
      <c r="Q114" t="s">
        <v>1326</v>
      </c>
      <c r="R114" t="str">
        <f t="shared" si="1"/>
        <v>Normal</v>
      </c>
    </row>
    <row r="115" spans="1:18" x14ac:dyDescent="0.3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  <c r="P115">
        <f>Table1_2[[#This Row],[Quantity]]*Table1_2[[#This Row],[UnitPrice]]</f>
        <v>950.40000000000009</v>
      </c>
      <c r="Q115" t="s">
        <v>1327</v>
      </c>
      <c r="R115" t="str">
        <f t="shared" si="1"/>
        <v>Normal</v>
      </c>
    </row>
    <row r="116" spans="1:18" x14ac:dyDescent="0.3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  <c r="P116">
        <f>Table1_2[[#This Row],[Quantity]]*Table1_2[[#This Row],[UnitPrice]]</f>
        <v>2492.4</v>
      </c>
      <c r="Q116" t="s">
        <v>1328</v>
      </c>
      <c r="R116" t="str">
        <f t="shared" si="1"/>
        <v>Outlier</v>
      </c>
    </row>
    <row r="117" spans="1:18" x14ac:dyDescent="0.3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  <c r="P117">
        <f>Table1_2[[#This Row],[Quantity]]*Table1_2[[#This Row],[UnitPrice]]</f>
        <v>1874.95</v>
      </c>
      <c r="Q117" t="s">
        <v>1329</v>
      </c>
      <c r="R117" t="str">
        <f t="shared" si="1"/>
        <v>Normal</v>
      </c>
    </row>
    <row r="118" spans="1:18" x14ac:dyDescent="0.3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  <c r="P118">
        <f>Table1_2[[#This Row],[Quantity]]*Table1_2[[#This Row],[UnitPrice]]</f>
        <v>1165.4000000000001</v>
      </c>
      <c r="Q118" t="s">
        <v>1330</v>
      </c>
      <c r="R118" t="str">
        <f t="shared" si="1"/>
        <v>Normal</v>
      </c>
    </row>
    <row r="119" spans="1:18" x14ac:dyDescent="0.3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  <c r="P119">
        <f>Table1_2[[#This Row],[Quantity]]*Table1_2[[#This Row],[UnitPrice]]</f>
        <v>535.5</v>
      </c>
      <c r="Q119" t="s">
        <v>1331</v>
      </c>
      <c r="R119" t="str">
        <f t="shared" si="1"/>
        <v>Normal</v>
      </c>
    </row>
    <row r="120" spans="1:18" x14ac:dyDescent="0.3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  <c r="P120">
        <f>Table1_2[[#This Row],[Quantity]]*Table1_2[[#This Row],[UnitPrice]]</f>
        <v>2513.5499999999997</v>
      </c>
      <c r="Q120" t="s">
        <v>1332</v>
      </c>
      <c r="R120" t="str">
        <f t="shared" si="1"/>
        <v>Outlier</v>
      </c>
    </row>
    <row r="121" spans="1:18" x14ac:dyDescent="0.3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  <c r="P121">
        <f>Table1_2[[#This Row],[Quantity]]*Table1_2[[#This Row],[UnitPrice]]</f>
        <v>1069.3399999999999</v>
      </c>
      <c r="Q121" t="s">
        <v>1333</v>
      </c>
      <c r="R121" t="str">
        <f t="shared" si="1"/>
        <v>Normal</v>
      </c>
    </row>
    <row r="122" spans="1:18" x14ac:dyDescent="0.3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  <c r="P122">
        <f>Table1_2[[#This Row],[Quantity]]*Table1_2[[#This Row],[UnitPrice]]</f>
        <v>2517.36</v>
      </c>
      <c r="Q122" t="s">
        <v>1334</v>
      </c>
      <c r="R122" t="str">
        <f t="shared" si="1"/>
        <v>Outlier</v>
      </c>
    </row>
    <row r="123" spans="1:18" x14ac:dyDescent="0.3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  <c r="P123">
        <f>Table1_2[[#This Row],[Quantity]]*Table1_2[[#This Row],[UnitPrice]]</f>
        <v>410.78</v>
      </c>
      <c r="Q123" t="s">
        <v>1335</v>
      </c>
      <c r="R123" t="str">
        <f t="shared" si="1"/>
        <v>Normal</v>
      </c>
    </row>
    <row r="124" spans="1:18" x14ac:dyDescent="0.3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4303</v>
      </c>
      <c r="M124" t="s">
        <v>4281</v>
      </c>
      <c r="N124">
        <v>1066.04</v>
      </c>
      <c r="P124">
        <f>Table1_2[[#This Row],[Quantity]]*Table1_2[[#This Row],[UnitPrice]]</f>
        <v>1066.04</v>
      </c>
      <c r="Q124" t="s">
        <v>1336</v>
      </c>
      <c r="R124" t="str">
        <f t="shared" si="1"/>
        <v>Normal</v>
      </c>
    </row>
    <row r="125" spans="1:18" x14ac:dyDescent="0.3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4303</v>
      </c>
      <c r="M125" t="s">
        <v>4278</v>
      </c>
      <c r="N125">
        <v>834.12000000000012</v>
      </c>
      <c r="P125">
        <f>Table1_2[[#This Row],[Quantity]]*Table1_2[[#This Row],[UnitPrice]]</f>
        <v>834.12000000000012</v>
      </c>
      <c r="Q125" t="s">
        <v>1337</v>
      </c>
      <c r="R125" t="str">
        <f t="shared" si="1"/>
        <v>Normal</v>
      </c>
    </row>
    <row r="126" spans="1:18" x14ac:dyDescent="0.3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4303</v>
      </c>
      <c r="M126" t="s">
        <v>4282</v>
      </c>
      <c r="N126">
        <v>1135.1600000000001</v>
      </c>
      <c r="P126">
        <f>Table1_2[[#This Row],[Quantity]]*Table1_2[[#This Row],[UnitPrice]]</f>
        <v>1135.1600000000001</v>
      </c>
      <c r="Q126" t="s">
        <v>1338</v>
      </c>
      <c r="R126" t="str">
        <f t="shared" si="1"/>
        <v>Normal</v>
      </c>
    </row>
    <row r="127" spans="1:18" x14ac:dyDescent="0.3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  <c r="P127">
        <f>Table1_2[[#This Row],[Quantity]]*Table1_2[[#This Row],[UnitPrice]]</f>
        <v>1025.3</v>
      </c>
      <c r="Q127" t="s">
        <v>1339</v>
      </c>
      <c r="R127" t="str">
        <f t="shared" si="1"/>
        <v>Normal</v>
      </c>
    </row>
    <row r="128" spans="1:18" x14ac:dyDescent="0.3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  <c r="P128">
        <f>Table1_2[[#This Row],[Quantity]]*Table1_2[[#This Row],[UnitPrice]]</f>
        <v>1102</v>
      </c>
      <c r="Q128" t="s">
        <v>1340</v>
      </c>
      <c r="R128" t="str">
        <f t="shared" si="1"/>
        <v>Normal</v>
      </c>
    </row>
    <row r="129" spans="1:18" x14ac:dyDescent="0.3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4303</v>
      </c>
      <c r="M129" t="s">
        <v>4282</v>
      </c>
      <c r="N129">
        <v>1407.96</v>
      </c>
      <c r="P129">
        <f>Table1_2[[#This Row],[Quantity]]*Table1_2[[#This Row],[UnitPrice]]</f>
        <v>1407.96</v>
      </c>
      <c r="Q129" t="s">
        <v>1341</v>
      </c>
      <c r="R129" t="str">
        <f t="shared" si="1"/>
        <v>Normal</v>
      </c>
    </row>
    <row r="130" spans="1:18" x14ac:dyDescent="0.3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  <c r="P130">
        <f>Table1_2[[#This Row],[Quantity]]*Table1_2[[#This Row],[UnitPrice]]</f>
        <v>84.28</v>
      </c>
      <c r="Q130" t="s">
        <v>1342</v>
      </c>
      <c r="R130" t="str">
        <f t="shared" si="1"/>
        <v>Normal</v>
      </c>
    </row>
    <row r="131" spans="1:18" x14ac:dyDescent="0.3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  <c r="P131">
        <f>Table1_2[[#This Row],[Quantity]]*Table1_2[[#This Row],[UnitPrice]]</f>
        <v>1055.72</v>
      </c>
      <c r="Q131" t="s">
        <v>1343</v>
      </c>
      <c r="R131" t="str">
        <f t="shared" ref="R131:R194" si="2">IF(OR(N131&lt;$S$2-1.5*($T$2-$S$2),N131&gt;$S$2+1.5*($T$2-$S$2)), "Outlier", "Normal")</f>
        <v>Normal</v>
      </c>
    </row>
    <row r="132" spans="1:18" x14ac:dyDescent="0.3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  <c r="P132">
        <f>Table1_2[[#This Row],[Quantity]]*Table1_2[[#This Row],[UnitPrice]]</f>
        <v>1503.9</v>
      </c>
      <c r="Q132" t="s">
        <v>1344</v>
      </c>
      <c r="R132" t="str">
        <f t="shared" si="2"/>
        <v>Normal</v>
      </c>
    </row>
    <row r="133" spans="1:18" x14ac:dyDescent="0.3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4303</v>
      </c>
      <c r="M133" t="s">
        <v>4278</v>
      </c>
      <c r="N133">
        <v>84.8</v>
      </c>
      <c r="P133">
        <f>Table1_2[[#This Row],[Quantity]]*Table1_2[[#This Row],[UnitPrice]]</f>
        <v>84.8</v>
      </c>
      <c r="Q133" t="s">
        <v>1345</v>
      </c>
      <c r="R133" t="str">
        <f t="shared" si="2"/>
        <v>Normal</v>
      </c>
    </row>
    <row r="134" spans="1:18" x14ac:dyDescent="0.3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  <c r="P134">
        <f>Table1_2[[#This Row],[Quantity]]*Table1_2[[#This Row],[UnitPrice]]</f>
        <v>1803</v>
      </c>
      <c r="Q134" t="s">
        <v>1346</v>
      </c>
      <c r="R134" t="str">
        <f t="shared" si="2"/>
        <v>Normal</v>
      </c>
    </row>
    <row r="135" spans="1:18" x14ac:dyDescent="0.3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  <c r="P135">
        <f>Table1_2[[#This Row],[Quantity]]*Table1_2[[#This Row],[UnitPrice]]</f>
        <v>1208.2</v>
      </c>
      <c r="Q135" t="s">
        <v>1347</v>
      </c>
      <c r="R135" t="str">
        <f t="shared" si="2"/>
        <v>Normal</v>
      </c>
    </row>
    <row r="136" spans="1:18" x14ac:dyDescent="0.3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4303</v>
      </c>
      <c r="M136" t="s">
        <v>4280</v>
      </c>
      <c r="N136">
        <v>399.4</v>
      </c>
      <c r="P136">
        <f>Table1_2[[#This Row],[Quantity]]*Table1_2[[#This Row],[UnitPrice]]</f>
        <v>399.4</v>
      </c>
      <c r="Q136" t="s">
        <v>1348</v>
      </c>
      <c r="R136" t="str">
        <f t="shared" si="2"/>
        <v>Normal</v>
      </c>
    </row>
    <row r="137" spans="1:18" x14ac:dyDescent="0.3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  <c r="P137">
        <f>Table1_2[[#This Row],[Quantity]]*Table1_2[[#This Row],[UnitPrice]]</f>
        <v>137.62</v>
      </c>
      <c r="Q137" t="s">
        <v>1349</v>
      </c>
      <c r="R137" t="str">
        <f t="shared" si="2"/>
        <v>Normal</v>
      </c>
    </row>
    <row r="138" spans="1:18" x14ac:dyDescent="0.3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  <c r="P138">
        <f>Table1_2[[#This Row],[Quantity]]*Table1_2[[#This Row],[UnitPrice]]</f>
        <v>44.35</v>
      </c>
      <c r="Q138" t="s">
        <v>1350</v>
      </c>
      <c r="R138" t="str">
        <f t="shared" si="2"/>
        <v>Normal</v>
      </c>
    </row>
    <row r="139" spans="1:18" x14ac:dyDescent="0.3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4303</v>
      </c>
      <c r="M139" t="s">
        <v>4282</v>
      </c>
      <c r="N139">
        <v>501.96</v>
      </c>
      <c r="P139">
        <f>Table1_2[[#This Row],[Quantity]]*Table1_2[[#This Row],[UnitPrice]]</f>
        <v>501.96</v>
      </c>
      <c r="Q139" t="s">
        <v>1351</v>
      </c>
      <c r="R139" t="str">
        <f t="shared" si="2"/>
        <v>Normal</v>
      </c>
    </row>
    <row r="140" spans="1:18" x14ac:dyDescent="0.3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  <c r="P140">
        <f>Table1_2[[#This Row],[Quantity]]*Table1_2[[#This Row],[UnitPrice]]</f>
        <v>298.06</v>
      </c>
      <c r="Q140" t="s">
        <v>1352</v>
      </c>
      <c r="R140" t="str">
        <f t="shared" si="2"/>
        <v>Normal</v>
      </c>
    </row>
    <row r="141" spans="1:18" x14ac:dyDescent="0.3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4303</v>
      </c>
      <c r="M141" t="s">
        <v>4280</v>
      </c>
      <c r="N141">
        <v>583.9</v>
      </c>
      <c r="P141">
        <f>Table1_2[[#This Row],[Quantity]]*Table1_2[[#This Row],[UnitPrice]]</f>
        <v>583.9</v>
      </c>
      <c r="Q141" t="s">
        <v>1353</v>
      </c>
      <c r="R141" t="str">
        <f t="shared" si="2"/>
        <v>Normal</v>
      </c>
    </row>
    <row r="142" spans="1:18" x14ac:dyDescent="0.3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  <c r="P142">
        <f>Table1_2[[#This Row],[Quantity]]*Table1_2[[#This Row],[UnitPrice]]</f>
        <v>1584.42</v>
      </c>
      <c r="Q142" t="s">
        <v>1354</v>
      </c>
      <c r="R142" t="str">
        <f t="shared" si="2"/>
        <v>Normal</v>
      </c>
    </row>
    <row r="143" spans="1:18" x14ac:dyDescent="0.3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  <c r="P143">
        <f>Table1_2[[#This Row],[Quantity]]*Table1_2[[#This Row],[UnitPrice]]</f>
        <v>2052.42</v>
      </c>
      <c r="Q143" t="s">
        <v>1355</v>
      </c>
      <c r="R143" t="str">
        <f t="shared" si="2"/>
        <v>Normal</v>
      </c>
    </row>
    <row r="144" spans="1:18" x14ac:dyDescent="0.3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  <c r="P144">
        <f>Table1_2[[#This Row],[Quantity]]*Table1_2[[#This Row],[UnitPrice]]</f>
        <v>1363.85</v>
      </c>
      <c r="Q144" t="s">
        <v>1356</v>
      </c>
      <c r="R144" t="str">
        <f t="shared" si="2"/>
        <v>Normal</v>
      </c>
    </row>
    <row r="145" spans="1:18" x14ac:dyDescent="0.3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4303</v>
      </c>
      <c r="M145" t="s">
        <v>4279</v>
      </c>
      <c r="N145">
        <v>1600.28</v>
      </c>
      <c r="P145">
        <f>Table1_2[[#This Row],[Quantity]]*Table1_2[[#This Row],[UnitPrice]]</f>
        <v>1600.28</v>
      </c>
      <c r="Q145" t="s">
        <v>1357</v>
      </c>
      <c r="R145" t="str">
        <f t="shared" si="2"/>
        <v>Normal</v>
      </c>
    </row>
    <row r="146" spans="1:18" x14ac:dyDescent="0.3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4303</v>
      </c>
      <c r="M146" t="s">
        <v>4281</v>
      </c>
      <c r="N146">
        <v>1098.9000000000001</v>
      </c>
      <c r="P146">
        <f>Table1_2[[#This Row],[Quantity]]*Table1_2[[#This Row],[UnitPrice]]</f>
        <v>1098.9000000000001</v>
      </c>
      <c r="Q146" t="s">
        <v>1358</v>
      </c>
      <c r="R146" t="str">
        <f t="shared" si="2"/>
        <v>Normal</v>
      </c>
    </row>
    <row r="147" spans="1:18" x14ac:dyDescent="0.3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  <c r="P147">
        <f>Table1_2[[#This Row],[Quantity]]*Table1_2[[#This Row],[UnitPrice]]</f>
        <v>440.73</v>
      </c>
      <c r="Q147" t="s">
        <v>1359</v>
      </c>
      <c r="R147" t="str">
        <f t="shared" si="2"/>
        <v>Normal</v>
      </c>
    </row>
    <row r="148" spans="1:18" x14ac:dyDescent="0.3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4303</v>
      </c>
      <c r="M148" t="s">
        <v>4278</v>
      </c>
      <c r="N148">
        <v>822.98</v>
      </c>
      <c r="P148">
        <f>Table1_2[[#This Row],[Quantity]]*Table1_2[[#This Row],[UnitPrice]]</f>
        <v>822.98</v>
      </c>
      <c r="Q148" t="s">
        <v>1360</v>
      </c>
      <c r="R148" t="str">
        <f t="shared" si="2"/>
        <v>Normal</v>
      </c>
    </row>
    <row r="149" spans="1:18" x14ac:dyDescent="0.3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  <c r="P149">
        <f>Table1_2[[#This Row],[Quantity]]*Table1_2[[#This Row],[UnitPrice]]</f>
        <v>930.36</v>
      </c>
      <c r="Q149" t="s">
        <v>1361</v>
      </c>
      <c r="R149" t="str">
        <f t="shared" si="2"/>
        <v>Normal</v>
      </c>
    </row>
    <row r="150" spans="1:18" x14ac:dyDescent="0.3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  <c r="P150">
        <f>Table1_2[[#This Row],[Quantity]]*Table1_2[[#This Row],[UnitPrice]]</f>
        <v>639.82000000000005</v>
      </c>
      <c r="Q150" t="s">
        <v>1362</v>
      </c>
      <c r="R150" t="str">
        <f t="shared" si="2"/>
        <v>Normal</v>
      </c>
    </row>
    <row r="151" spans="1:18" x14ac:dyDescent="0.3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4303</v>
      </c>
      <c r="M151" t="s">
        <v>4281</v>
      </c>
      <c r="N151">
        <v>217.56</v>
      </c>
      <c r="P151">
        <f>Table1_2[[#This Row],[Quantity]]*Table1_2[[#This Row],[UnitPrice]]</f>
        <v>217.56</v>
      </c>
      <c r="Q151" t="s">
        <v>1363</v>
      </c>
      <c r="R151" t="str">
        <f t="shared" si="2"/>
        <v>Normal</v>
      </c>
    </row>
    <row r="152" spans="1:18" x14ac:dyDescent="0.3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  <c r="P152">
        <f>Table1_2[[#This Row],[Quantity]]*Table1_2[[#This Row],[UnitPrice]]</f>
        <v>211.14</v>
      </c>
      <c r="Q152" t="s">
        <v>1364</v>
      </c>
      <c r="R152" t="str">
        <f t="shared" si="2"/>
        <v>Normal</v>
      </c>
    </row>
    <row r="153" spans="1:18" x14ac:dyDescent="0.3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4303</v>
      </c>
      <c r="M153" t="s">
        <v>4280</v>
      </c>
      <c r="N153">
        <v>2223.8000000000002</v>
      </c>
      <c r="P153">
        <f>Table1_2[[#This Row],[Quantity]]*Table1_2[[#This Row],[UnitPrice]]</f>
        <v>2223.8000000000002</v>
      </c>
      <c r="Q153" t="s">
        <v>1365</v>
      </c>
      <c r="R153" t="str">
        <f t="shared" si="2"/>
        <v>Outlier</v>
      </c>
    </row>
    <row r="154" spans="1:18" x14ac:dyDescent="0.3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  <c r="P154">
        <f>Table1_2[[#This Row],[Quantity]]*Table1_2[[#This Row],[UnitPrice]]</f>
        <v>798.08</v>
      </c>
      <c r="Q154" t="s">
        <v>1366</v>
      </c>
      <c r="R154" t="str">
        <f t="shared" si="2"/>
        <v>Normal</v>
      </c>
    </row>
    <row r="155" spans="1:18" x14ac:dyDescent="0.3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  <c r="P155">
        <f>Table1_2[[#This Row],[Quantity]]*Table1_2[[#This Row],[UnitPrice]]</f>
        <v>2137.92</v>
      </c>
      <c r="Q155" t="s">
        <v>1367</v>
      </c>
      <c r="R155" t="str">
        <f t="shared" si="2"/>
        <v>Normal</v>
      </c>
    </row>
    <row r="156" spans="1:18" x14ac:dyDescent="0.3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4303</v>
      </c>
      <c r="M156" t="s">
        <v>4278</v>
      </c>
      <c r="N156">
        <v>1632.84</v>
      </c>
      <c r="P156">
        <f>Table1_2[[#This Row],[Quantity]]*Table1_2[[#This Row],[UnitPrice]]</f>
        <v>1632.84</v>
      </c>
      <c r="Q156" t="s">
        <v>1368</v>
      </c>
      <c r="R156" t="str">
        <f t="shared" si="2"/>
        <v>Normal</v>
      </c>
    </row>
    <row r="157" spans="1:18" x14ac:dyDescent="0.3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  <c r="P157">
        <f>Table1_2[[#This Row],[Quantity]]*Table1_2[[#This Row],[UnitPrice]]</f>
        <v>424.4</v>
      </c>
      <c r="Q157" t="s">
        <v>1369</v>
      </c>
      <c r="R157" t="str">
        <f t="shared" si="2"/>
        <v>Normal</v>
      </c>
    </row>
    <row r="158" spans="1:18" x14ac:dyDescent="0.3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  <c r="P158">
        <f>Table1_2[[#This Row],[Quantity]]*Table1_2[[#This Row],[UnitPrice]]</f>
        <v>539.66</v>
      </c>
      <c r="Q158" t="s">
        <v>1370</v>
      </c>
      <c r="R158" t="str">
        <f t="shared" si="2"/>
        <v>Normal</v>
      </c>
    </row>
    <row r="159" spans="1:18" x14ac:dyDescent="0.3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  <c r="P159">
        <f>Table1_2[[#This Row],[Quantity]]*Table1_2[[#This Row],[UnitPrice]]</f>
        <v>1129.1600000000001</v>
      </c>
      <c r="Q159" t="s">
        <v>1371</v>
      </c>
      <c r="R159" t="str">
        <f t="shared" si="2"/>
        <v>Normal</v>
      </c>
    </row>
    <row r="160" spans="1:18" x14ac:dyDescent="0.3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  <c r="P160">
        <f>Table1_2[[#This Row],[Quantity]]*Table1_2[[#This Row],[UnitPrice]]</f>
        <v>331.06</v>
      </c>
      <c r="Q160" t="s">
        <v>1372</v>
      </c>
      <c r="R160" t="str">
        <f t="shared" si="2"/>
        <v>Normal</v>
      </c>
    </row>
    <row r="161" spans="1:18" x14ac:dyDescent="0.3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  <c r="P161">
        <f>Table1_2[[#This Row],[Quantity]]*Table1_2[[#This Row],[UnitPrice]]</f>
        <v>299.35000000000002</v>
      </c>
      <c r="Q161" t="s">
        <v>1373</v>
      </c>
      <c r="R161" t="str">
        <f t="shared" si="2"/>
        <v>Normal</v>
      </c>
    </row>
    <row r="162" spans="1:18" x14ac:dyDescent="0.3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4303</v>
      </c>
      <c r="M162" t="s">
        <v>4279</v>
      </c>
      <c r="N162">
        <v>405.28</v>
      </c>
      <c r="P162">
        <f>Table1_2[[#This Row],[Quantity]]*Table1_2[[#This Row],[UnitPrice]]</f>
        <v>405.28</v>
      </c>
      <c r="Q162" t="s">
        <v>1374</v>
      </c>
      <c r="R162" t="str">
        <f t="shared" si="2"/>
        <v>Normal</v>
      </c>
    </row>
    <row r="163" spans="1:18" x14ac:dyDescent="0.3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  <c r="P163">
        <f>Table1_2[[#This Row],[Quantity]]*Table1_2[[#This Row],[UnitPrice]]</f>
        <v>211.14</v>
      </c>
      <c r="Q163" t="s">
        <v>1375</v>
      </c>
      <c r="R163" t="str">
        <f t="shared" si="2"/>
        <v>Normal</v>
      </c>
    </row>
    <row r="164" spans="1:18" x14ac:dyDescent="0.3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  <c r="P164">
        <f>Table1_2[[#This Row],[Quantity]]*Table1_2[[#This Row],[UnitPrice]]</f>
        <v>197.57999999999998</v>
      </c>
      <c r="Q164" t="s">
        <v>1376</v>
      </c>
      <c r="R164" t="str">
        <f t="shared" si="2"/>
        <v>Normal</v>
      </c>
    </row>
    <row r="165" spans="1:18" x14ac:dyDescent="0.3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4303</v>
      </c>
      <c r="M165" t="s">
        <v>4279</v>
      </c>
      <c r="N165">
        <v>641.39</v>
      </c>
      <c r="P165">
        <f>Table1_2[[#This Row],[Quantity]]*Table1_2[[#This Row],[UnitPrice]]</f>
        <v>641.39</v>
      </c>
      <c r="Q165" t="s">
        <v>1377</v>
      </c>
      <c r="R165" t="str">
        <f t="shared" si="2"/>
        <v>Normal</v>
      </c>
    </row>
    <row r="166" spans="1:18" x14ac:dyDescent="0.3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  <c r="P166">
        <f>Table1_2[[#This Row],[Quantity]]*Table1_2[[#This Row],[UnitPrice]]</f>
        <v>2682.9</v>
      </c>
      <c r="Q166" t="s">
        <v>1378</v>
      </c>
      <c r="R166" t="str">
        <f t="shared" si="2"/>
        <v>Outlier</v>
      </c>
    </row>
    <row r="167" spans="1:18" x14ac:dyDescent="0.3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  <c r="P167">
        <f>Table1_2[[#This Row],[Quantity]]*Table1_2[[#This Row],[UnitPrice]]</f>
        <v>1000.58</v>
      </c>
      <c r="Q167" t="s">
        <v>1379</v>
      </c>
      <c r="R167" t="str">
        <f t="shared" si="2"/>
        <v>Normal</v>
      </c>
    </row>
    <row r="168" spans="1:18" x14ac:dyDescent="0.3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  <c r="P168">
        <f>Table1_2[[#This Row],[Quantity]]*Table1_2[[#This Row],[UnitPrice]]</f>
        <v>258.87</v>
      </c>
      <c r="Q168" t="s">
        <v>1380</v>
      </c>
      <c r="R168" t="str">
        <f t="shared" si="2"/>
        <v>Normal</v>
      </c>
    </row>
    <row r="169" spans="1:18" x14ac:dyDescent="0.3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  <c r="P169">
        <f>Table1_2[[#This Row],[Quantity]]*Table1_2[[#This Row],[UnitPrice]]</f>
        <v>768.28</v>
      </c>
      <c r="Q169" t="s">
        <v>1381</v>
      </c>
      <c r="R169" t="str">
        <f t="shared" si="2"/>
        <v>Normal</v>
      </c>
    </row>
    <row r="170" spans="1:18" x14ac:dyDescent="0.3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4303</v>
      </c>
      <c r="M170" t="s">
        <v>4281</v>
      </c>
      <c r="N170">
        <v>594.96</v>
      </c>
      <c r="P170">
        <f>Table1_2[[#This Row],[Quantity]]*Table1_2[[#This Row],[UnitPrice]]</f>
        <v>594.96</v>
      </c>
      <c r="Q170" t="s">
        <v>1382</v>
      </c>
      <c r="R170" t="str">
        <f t="shared" si="2"/>
        <v>Normal</v>
      </c>
    </row>
    <row r="171" spans="1:18" x14ac:dyDescent="0.3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  <c r="P171">
        <f>Table1_2[[#This Row],[Quantity]]*Table1_2[[#This Row],[UnitPrice]]</f>
        <v>427.82</v>
      </c>
      <c r="Q171" t="s">
        <v>1383</v>
      </c>
      <c r="R171" t="str">
        <f t="shared" si="2"/>
        <v>Normal</v>
      </c>
    </row>
    <row r="172" spans="1:18" x14ac:dyDescent="0.3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  <c r="P172">
        <f>Table1_2[[#This Row],[Quantity]]*Table1_2[[#This Row],[UnitPrice]]</f>
        <v>2651.76</v>
      </c>
      <c r="Q172" t="s">
        <v>1384</v>
      </c>
      <c r="R172" t="str">
        <f t="shared" si="2"/>
        <v>Outlier</v>
      </c>
    </row>
    <row r="173" spans="1:18" x14ac:dyDescent="0.3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  <c r="P173">
        <f>Table1_2[[#This Row],[Quantity]]*Table1_2[[#This Row],[UnitPrice]]</f>
        <v>296.44</v>
      </c>
      <c r="Q173" t="s">
        <v>1385</v>
      </c>
      <c r="R173" t="str">
        <f t="shared" si="2"/>
        <v>Normal</v>
      </c>
    </row>
    <row r="174" spans="1:18" x14ac:dyDescent="0.3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  <c r="P174">
        <f>Table1_2[[#This Row],[Quantity]]*Table1_2[[#This Row],[UnitPrice]]</f>
        <v>254.12</v>
      </c>
      <c r="Q174" t="s">
        <v>1386</v>
      </c>
      <c r="R174" t="str">
        <f t="shared" si="2"/>
        <v>Normal</v>
      </c>
    </row>
    <row r="175" spans="1:18" x14ac:dyDescent="0.3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  <c r="P175">
        <f>Table1_2[[#This Row],[Quantity]]*Table1_2[[#This Row],[UnitPrice]]</f>
        <v>1993.38</v>
      </c>
      <c r="Q175" t="s">
        <v>1387</v>
      </c>
      <c r="R175" t="str">
        <f t="shared" si="2"/>
        <v>Normal</v>
      </c>
    </row>
    <row r="176" spans="1:18" x14ac:dyDescent="0.3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  <c r="P176">
        <f>Table1_2[[#This Row],[Quantity]]*Table1_2[[#This Row],[UnitPrice]]</f>
        <v>2403.2399999999998</v>
      </c>
      <c r="Q176" t="s">
        <v>1388</v>
      </c>
      <c r="R176" t="str">
        <f t="shared" si="2"/>
        <v>Outlier</v>
      </c>
    </row>
    <row r="177" spans="1:18" x14ac:dyDescent="0.3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  <c r="P177">
        <f>Table1_2[[#This Row],[Quantity]]*Table1_2[[#This Row],[UnitPrice]]</f>
        <v>341.70000000000005</v>
      </c>
      <c r="Q177" t="s">
        <v>1389</v>
      </c>
      <c r="R177" t="str">
        <f t="shared" si="2"/>
        <v>Normal</v>
      </c>
    </row>
    <row r="178" spans="1:18" x14ac:dyDescent="0.3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  <c r="P178">
        <f>Table1_2[[#This Row],[Quantity]]*Table1_2[[#This Row],[UnitPrice]]</f>
        <v>1723.32</v>
      </c>
      <c r="Q178" t="s">
        <v>1390</v>
      </c>
      <c r="R178" t="str">
        <f t="shared" si="2"/>
        <v>Normal</v>
      </c>
    </row>
    <row r="179" spans="1:18" x14ac:dyDescent="0.3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4303</v>
      </c>
      <c r="M179" t="s">
        <v>4281</v>
      </c>
      <c r="N179">
        <v>2158.4499999999998</v>
      </c>
      <c r="P179">
        <f>Table1_2[[#This Row],[Quantity]]*Table1_2[[#This Row],[UnitPrice]]</f>
        <v>2158.4499999999998</v>
      </c>
      <c r="Q179" t="s">
        <v>1391</v>
      </c>
      <c r="R179" t="str">
        <f t="shared" si="2"/>
        <v>Normal</v>
      </c>
    </row>
    <row r="180" spans="1:18" x14ac:dyDescent="0.3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  <c r="P180">
        <f>Table1_2[[#This Row],[Quantity]]*Table1_2[[#This Row],[UnitPrice]]</f>
        <v>2048.2399999999998</v>
      </c>
      <c r="Q180" t="s">
        <v>1392</v>
      </c>
      <c r="R180" t="str">
        <f t="shared" si="2"/>
        <v>Normal</v>
      </c>
    </row>
    <row r="181" spans="1:18" x14ac:dyDescent="0.3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4303</v>
      </c>
      <c r="M181" t="s">
        <v>4280</v>
      </c>
      <c r="N181">
        <v>1619.73</v>
      </c>
      <c r="P181">
        <f>Table1_2[[#This Row],[Quantity]]*Table1_2[[#This Row],[UnitPrice]]</f>
        <v>1619.73</v>
      </c>
      <c r="Q181" t="s">
        <v>1393</v>
      </c>
      <c r="R181" t="str">
        <f t="shared" si="2"/>
        <v>Normal</v>
      </c>
    </row>
    <row r="182" spans="1:18" x14ac:dyDescent="0.3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4303</v>
      </c>
      <c r="M182" t="s">
        <v>4282</v>
      </c>
      <c r="N182">
        <v>1580.35</v>
      </c>
      <c r="P182">
        <f>Table1_2[[#This Row],[Quantity]]*Table1_2[[#This Row],[UnitPrice]]</f>
        <v>1580.35</v>
      </c>
      <c r="Q182" t="s">
        <v>1394</v>
      </c>
      <c r="R182" t="str">
        <f t="shared" si="2"/>
        <v>Normal</v>
      </c>
    </row>
    <row r="183" spans="1:18" x14ac:dyDescent="0.3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4303</v>
      </c>
      <c r="M183" t="s">
        <v>4279</v>
      </c>
      <c r="N183">
        <v>2021.95</v>
      </c>
      <c r="P183">
        <f>Table1_2[[#This Row],[Quantity]]*Table1_2[[#This Row],[UnitPrice]]</f>
        <v>2021.9499999999998</v>
      </c>
      <c r="Q183" t="s">
        <v>1395</v>
      </c>
      <c r="R183" t="str">
        <f t="shared" si="2"/>
        <v>Normal</v>
      </c>
    </row>
    <row r="184" spans="1:18" x14ac:dyDescent="0.3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  <c r="P184">
        <f>Table1_2[[#This Row],[Quantity]]*Table1_2[[#This Row],[UnitPrice]]</f>
        <v>600.54</v>
      </c>
      <c r="Q184" t="s">
        <v>1396</v>
      </c>
      <c r="R184" t="str">
        <f t="shared" si="2"/>
        <v>Normal</v>
      </c>
    </row>
    <row r="185" spans="1:18" x14ac:dyDescent="0.3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  <c r="P185">
        <f>Table1_2[[#This Row],[Quantity]]*Table1_2[[#This Row],[UnitPrice]]</f>
        <v>931.4</v>
      </c>
      <c r="Q185" t="s">
        <v>1397</v>
      </c>
      <c r="R185" t="str">
        <f t="shared" si="2"/>
        <v>Normal</v>
      </c>
    </row>
    <row r="186" spans="1:18" x14ac:dyDescent="0.3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4303</v>
      </c>
      <c r="M186" t="s">
        <v>4279</v>
      </c>
      <c r="N186">
        <v>858.16</v>
      </c>
      <c r="P186">
        <f>Table1_2[[#This Row],[Quantity]]*Table1_2[[#This Row],[UnitPrice]]</f>
        <v>858.16</v>
      </c>
      <c r="Q186" t="s">
        <v>1398</v>
      </c>
      <c r="R186" t="str">
        <f t="shared" si="2"/>
        <v>Normal</v>
      </c>
    </row>
    <row r="187" spans="1:18" x14ac:dyDescent="0.3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  <c r="P187">
        <f>Table1_2[[#This Row],[Quantity]]*Table1_2[[#This Row],[UnitPrice]]</f>
        <v>210.7</v>
      </c>
      <c r="Q187" t="s">
        <v>1399</v>
      </c>
      <c r="R187" t="str">
        <f t="shared" si="2"/>
        <v>Normal</v>
      </c>
    </row>
    <row r="188" spans="1:18" x14ac:dyDescent="0.3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  <c r="P188">
        <f>Table1_2[[#This Row],[Quantity]]*Table1_2[[#This Row],[UnitPrice]]</f>
        <v>267.10000000000002</v>
      </c>
      <c r="Q188" t="s">
        <v>1400</v>
      </c>
      <c r="R188" t="str">
        <f t="shared" si="2"/>
        <v>Normal</v>
      </c>
    </row>
    <row r="189" spans="1:18" x14ac:dyDescent="0.3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  <c r="P189">
        <f>Table1_2[[#This Row],[Quantity]]*Table1_2[[#This Row],[UnitPrice]]</f>
        <v>590.87</v>
      </c>
      <c r="Q189" t="s">
        <v>1401</v>
      </c>
      <c r="R189" t="str">
        <f t="shared" si="2"/>
        <v>Normal</v>
      </c>
    </row>
    <row r="190" spans="1:18" x14ac:dyDescent="0.3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  <c r="P190">
        <f>Table1_2[[#This Row],[Quantity]]*Table1_2[[#This Row],[UnitPrice]]</f>
        <v>727.82</v>
      </c>
      <c r="Q190" t="s">
        <v>1402</v>
      </c>
      <c r="R190" t="str">
        <f t="shared" si="2"/>
        <v>Normal</v>
      </c>
    </row>
    <row r="191" spans="1:18" x14ac:dyDescent="0.3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  <c r="P191">
        <f>Table1_2[[#This Row],[Quantity]]*Table1_2[[#This Row],[UnitPrice]]</f>
        <v>2147.25</v>
      </c>
      <c r="Q191" t="s">
        <v>1403</v>
      </c>
      <c r="R191" t="str">
        <f t="shared" si="2"/>
        <v>Normal</v>
      </c>
    </row>
    <row r="192" spans="1:18" x14ac:dyDescent="0.3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  <c r="P192">
        <f>Table1_2[[#This Row],[Quantity]]*Table1_2[[#This Row],[UnitPrice]]</f>
        <v>671.09999999999991</v>
      </c>
      <c r="Q192" t="s">
        <v>1404</v>
      </c>
      <c r="R192" t="str">
        <f t="shared" si="2"/>
        <v>Normal</v>
      </c>
    </row>
    <row r="193" spans="1:18" x14ac:dyDescent="0.3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  <c r="P193">
        <f>Table1_2[[#This Row],[Quantity]]*Table1_2[[#This Row],[UnitPrice]]</f>
        <v>977.74</v>
      </c>
      <c r="Q193" t="s">
        <v>1405</v>
      </c>
      <c r="R193" t="str">
        <f t="shared" si="2"/>
        <v>Normal</v>
      </c>
    </row>
    <row r="194" spans="1:18" x14ac:dyDescent="0.3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  <c r="P194">
        <f>Table1_2[[#This Row],[Quantity]]*Table1_2[[#This Row],[UnitPrice]]</f>
        <v>645.46</v>
      </c>
      <c r="Q194" t="s">
        <v>1406</v>
      </c>
      <c r="R194" t="str">
        <f t="shared" si="2"/>
        <v>Normal</v>
      </c>
    </row>
    <row r="195" spans="1:18" x14ac:dyDescent="0.3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4303</v>
      </c>
      <c r="M195" t="s">
        <v>4282</v>
      </c>
      <c r="N195">
        <v>46.66</v>
      </c>
      <c r="P195">
        <f>Table1_2[[#This Row],[Quantity]]*Table1_2[[#This Row],[UnitPrice]]</f>
        <v>46.66</v>
      </c>
      <c r="Q195" t="s">
        <v>1407</v>
      </c>
      <c r="R195" t="str">
        <f t="shared" ref="R195:R258" si="3">IF(OR(N195&lt;$S$2-1.5*($T$2-$S$2),N195&gt;$S$2+1.5*($T$2-$S$2)), "Outlier", "Normal")</f>
        <v>Normal</v>
      </c>
    </row>
    <row r="196" spans="1:18" x14ac:dyDescent="0.3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  <c r="P196">
        <f>Table1_2[[#This Row],[Quantity]]*Table1_2[[#This Row],[UnitPrice]]</f>
        <v>249.57</v>
      </c>
      <c r="Q196" t="s">
        <v>1408</v>
      </c>
      <c r="R196" t="str">
        <f t="shared" si="3"/>
        <v>Normal</v>
      </c>
    </row>
    <row r="197" spans="1:18" x14ac:dyDescent="0.3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4303</v>
      </c>
      <c r="M197" t="s">
        <v>4280</v>
      </c>
      <c r="N197">
        <v>1857.63</v>
      </c>
      <c r="P197">
        <f>Table1_2[[#This Row],[Quantity]]*Table1_2[[#This Row],[UnitPrice]]</f>
        <v>1857.63</v>
      </c>
      <c r="Q197" t="s">
        <v>1409</v>
      </c>
      <c r="R197" t="str">
        <f t="shared" si="3"/>
        <v>Normal</v>
      </c>
    </row>
    <row r="198" spans="1:18" x14ac:dyDescent="0.3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  <c r="P198">
        <f>Table1_2[[#This Row],[Quantity]]*Table1_2[[#This Row],[UnitPrice]]</f>
        <v>868.52</v>
      </c>
      <c r="Q198" t="s">
        <v>1410</v>
      </c>
      <c r="R198" t="str">
        <f t="shared" si="3"/>
        <v>Normal</v>
      </c>
    </row>
    <row r="199" spans="1:18" x14ac:dyDescent="0.3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  <c r="P199">
        <f>Table1_2[[#This Row],[Quantity]]*Table1_2[[#This Row],[UnitPrice]]</f>
        <v>1107.55</v>
      </c>
      <c r="Q199" t="s">
        <v>1411</v>
      </c>
      <c r="R199" t="str">
        <f t="shared" si="3"/>
        <v>Normal</v>
      </c>
    </row>
    <row r="200" spans="1:18" x14ac:dyDescent="0.3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  <c r="P200">
        <f>Table1_2[[#This Row],[Quantity]]*Table1_2[[#This Row],[UnitPrice]]</f>
        <v>1361.2</v>
      </c>
      <c r="Q200" t="s">
        <v>1412</v>
      </c>
      <c r="R200" t="str">
        <f t="shared" si="3"/>
        <v>Normal</v>
      </c>
    </row>
    <row r="201" spans="1:18" x14ac:dyDescent="0.3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  <c r="P201">
        <f>Table1_2[[#This Row],[Quantity]]*Table1_2[[#This Row],[UnitPrice]]</f>
        <v>625</v>
      </c>
      <c r="Q201" t="s">
        <v>1413</v>
      </c>
      <c r="R201" t="str">
        <f t="shared" si="3"/>
        <v>Normal</v>
      </c>
    </row>
    <row r="202" spans="1:18" x14ac:dyDescent="0.3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  <c r="P202">
        <f>Table1_2[[#This Row],[Quantity]]*Table1_2[[#This Row],[UnitPrice]]</f>
        <v>2166.3000000000002</v>
      </c>
      <c r="Q202" t="s">
        <v>1414</v>
      </c>
      <c r="R202" t="str">
        <f t="shared" si="3"/>
        <v>Outlier</v>
      </c>
    </row>
    <row r="203" spans="1:18" x14ac:dyDescent="0.3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  <c r="P203">
        <f>Table1_2[[#This Row],[Quantity]]*Table1_2[[#This Row],[UnitPrice]]</f>
        <v>1349.8</v>
      </c>
      <c r="Q203" t="s">
        <v>1415</v>
      </c>
      <c r="R203" t="str">
        <f t="shared" si="3"/>
        <v>Normal</v>
      </c>
    </row>
    <row r="204" spans="1:18" x14ac:dyDescent="0.3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  <c r="P204">
        <f>Table1_2[[#This Row],[Quantity]]*Table1_2[[#This Row],[UnitPrice]]</f>
        <v>761.93999999999994</v>
      </c>
      <c r="Q204" t="s">
        <v>1416</v>
      </c>
      <c r="R204" t="str">
        <f t="shared" si="3"/>
        <v>Normal</v>
      </c>
    </row>
    <row r="205" spans="1:18" x14ac:dyDescent="0.3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  <c r="P205">
        <f>Table1_2[[#This Row],[Quantity]]*Table1_2[[#This Row],[UnitPrice]]</f>
        <v>1070.52</v>
      </c>
      <c r="Q205" t="s">
        <v>1417</v>
      </c>
      <c r="R205" t="str">
        <f t="shared" si="3"/>
        <v>Normal</v>
      </c>
    </row>
    <row r="206" spans="1:18" x14ac:dyDescent="0.3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  <c r="P206">
        <f>Table1_2[[#This Row],[Quantity]]*Table1_2[[#This Row],[UnitPrice]]</f>
        <v>1654.84</v>
      </c>
      <c r="Q206" t="s">
        <v>1418</v>
      </c>
      <c r="R206" t="str">
        <f t="shared" si="3"/>
        <v>Normal</v>
      </c>
    </row>
    <row r="207" spans="1:18" x14ac:dyDescent="0.3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4303</v>
      </c>
      <c r="M207" t="s">
        <v>4280</v>
      </c>
      <c r="N207">
        <v>442.17</v>
      </c>
      <c r="P207">
        <f>Table1_2[[#This Row],[Quantity]]*Table1_2[[#This Row],[UnitPrice]]</f>
        <v>442.16999999999996</v>
      </c>
      <c r="Q207" t="s">
        <v>1419</v>
      </c>
      <c r="R207" t="str">
        <f t="shared" si="3"/>
        <v>Normal</v>
      </c>
    </row>
    <row r="208" spans="1:18" x14ac:dyDescent="0.3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  <c r="P208">
        <f>Table1_2[[#This Row],[Quantity]]*Table1_2[[#This Row],[UnitPrice]]</f>
        <v>916.4</v>
      </c>
      <c r="Q208" t="s">
        <v>1420</v>
      </c>
      <c r="R208" t="str">
        <f t="shared" si="3"/>
        <v>Normal</v>
      </c>
    </row>
    <row r="209" spans="1:18" x14ac:dyDescent="0.3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4303</v>
      </c>
      <c r="M209" t="s">
        <v>4282</v>
      </c>
      <c r="N209">
        <v>121.96</v>
      </c>
      <c r="P209">
        <f>Table1_2[[#This Row],[Quantity]]*Table1_2[[#This Row],[UnitPrice]]</f>
        <v>121.96</v>
      </c>
      <c r="Q209" t="s">
        <v>1421</v>
      </c>
      <c r="R209" t="str">
        <f t="shared" si="3"/>
        <v>Normal</v>
      </c>
    </row>
    <row r="210" spans="1:18" x14ac:dyDescent="0.3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  <c r="P210">
        <f>Table1_2[[#This Row],[Quantity]]*Table1_2[[#This Row],[UnitPrice]]</f>
        <v>816.64</v>
      </c>
      <c r="Q210" t="s">
        <v>1422</v>
      </c>
      <c r="R210" t="str">
        <f t="shared" si="3"/>
        <v>Normal</v>
      </c>
    </row>
    <row r="211" spans="1:18" x14ac:dyDescent="0.3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  <c r="P211">
        <f>Table1_2[[#This Row],[Quantity]]*Table1_2[[#This Row],[UnitPrice]]</f>
        <v>939.85</v>
      </c>
      <c r="Q211" t="s">
        <v>1423</v>
      </c>
      <c r="R211" t="str">
        <f t="shared" si="3"/>
        <v>Normal</v>
      </c>
    </row>
    <row r="212" spans="1:18" x14ac:dyDescent="0.3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  <c r="P212">
        <f>Table1_2[[#This Row],[Quantity]]*Table1_2[[#This Row],[UnitPrice]]</f>
        <v>1075.44</v>
      </c>
      <c r="Q212" t="s">
        <v>1424</v>
      </c>
      <c r="R212" t="str">
        <f t="shared" si="3"/>
        <v>Normal</v>
      </c>
    </row>
    <row r="213" spans="1:18" x14ac:dyDescent="0.3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  <c r="P213">
        <f>Table1_2[[#This Row],[Quantity]]*Table1_2[[#This Row],[UnitPrice]]</f>
        <v>580.74</v>
      </c>
      <c r="Q213" t="s">
        <v>1425</v>
      </c>
      <c r="R213" t="str">
        <f t="shared" si="3"/>
        <v>Normal</v>
      </c>
    </row>
    <row r="214" spans="1:18" x14ac:dyDescent="0.3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  <c r="P214">
        <f>Table1_2[[#This Row],[Quantity]]*Table1_2[[#This Row],[UnitPrice]]</f>
        <v>265.38</v>
      </c>
      <c r="Q214" t="s">
        <v>1426</v>
      </c>
      <c r="R214" t="str">
        <f t="shared" si="3"/>
        <v>Normal</v>
      </c>
    </row>
    <row r="215" spans="1:18" x14ac:dyDescent="0.3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  <c r="P215">
        <f>Table1_2[[#This Row],[Quantity]]*Table1_2[[#This Row],[UnitPrice]]</f>
        <v>634.4</v>
      </c>
      <c r="Q215" t="s">
        <v>1427</v>
      </c>
      <c r="R215" t="str">
        <f t="shared" si="3"/>
        <v>Normal</v>
      </c>
    </row>
    <row r="216" spans="1:18" x14ac:dyDescent="0.3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4303</v>
      </c>
      <c r="M216" t="s">
        <v>4281</v>
      </c>
      <c r="N216">
        <v>1222.8800000000001</v>
      </c>
      <c r="P216">
        <f>Table1_2[[#This Row],[Quantity]]*Table1_2[[#This Row],[UnitPrice]]</f>
        <v>1222.8800000000001</v>
      </c>
      <c r="Q216" t="s">
        <v>1428</v>
      </c>
      <c r="R216" t="str">
        <f t="shared" si="3"/>
        <v>Normal</v>
      </c>
    </row>
    <row r="217" spans="1:18" x14ac:dyDescent="0.3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  <c r="P217">
        <f>Table1_2[[#This Row],[Quantity]]*Table1_2[[#This Row],[UnitPrice]]</f>
        <v>303.60000000000002</v>
      </c>
      <c r="Q217" t="s">
        <v>1429</v>
      </c>
      <c r="R217" t="str">
        <f t="shared" si="3"/>
        <v>Normal</v>
      </c>
    </row>
    <row r="218" spans="1:18" x14ac:dyDescent="0.3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  <c r="P218">
        <f>Table1_2[[#This Row],[Quantity]]*Table1_2[[#This Row],[UnitPrice]]</f>
        <v>1984</v>
      </c>
      <c r="Q218" t="s">
        <v>1430</v>
      </c>
      <c r="R218" t="str">
        <f t="shared" si="3"/>
        <v>Normal</v>
      </c>
    </row>
    <row r="219" spans="1:18" x14ac:dyDescent="0.3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4303</v>
      </c>
      <c r="M219" t="s">
        <v>4282</v>
      </c>
      <c r="N219">
        <v>1286.04</v>
      </c>
      <c r="P219">
        <f>Table1_2[[#This Row],[Quantity]]*Table1_2[[#This Row],[UnitPrice]]</f>
        <v>1286.04</v>
      </c>
      <c r="Q219" t="s">
        <v>1431</v>
      </c>
      <c r="R219" t="str">
        <f t="shared" si="3"/>
        <v>Normal</v>
      </c>
    </row>
    <row r="220" spans="1:18" x14ac:dyDescent="0.3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  <c r="P220">
        <f>Table1_2[[#This Row],[Quantity]]*Table1_2[[#This Row],[UnitPrice]]</f>
        <v>337.38</v>
      </c>
      <c r="Q220" t="s">
        <v>1432</v>
      </c>
      <c r="R220" t="str">
        <f t="shared" si="3"/>
        <v>Normal</v>
      </c>
    </row>
    <row r="221" spans="1:18" x14ac:dyDescent="0.3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  <c r="P221">
        <f>Table1_2[[#This Row],[Quantity]]*Table1_2[[#This Row],[UnitPrice]]</f>
        <v>309.85000000000002</v>
      </c>
      <c r="Q221" t="s">
        <v>1433</v>
      </c>
      <c r="R221" t="str">
        <f t="shared" si="3"/>
        <v>Normal</v>
      </c>
    </row>
    <row r="222" spans="1:18" x14ac:dyDescent="0.3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  <c r="P222">
        <f>Table1_2[[#This Row],[Quantity]]*Table1_2[[#This Row],[UnitPrice]]</f>
        <v>746.34</v>
      </c>
      <c r="Q222" t="s">
        <v>1434</v>
      </c>
      <c r="R222" t="str">
        <f t="shared" si="3"/>
        <v>Normal</v>
      </c>
    </row>
    <row r="223" spans="1:18" x14ac:dyDescent="0.3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  <c r="P223">
        <f>Table1_2[[#This Row],[Quantity]]*Table1_2[[#This Row],[UnitPrice]]</f>
        <v>3196.85</v>
      </c>
      <c r="Q223" t="s">
        <v>1435</v>
      </c>
      <c r="R223" t="str">
        <f t="shared" si="3"/>
        <v>Outlier</v>
      </c>
    </row>
    <row r="224" spans="1:18" x14ac:dyDescent="0.3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4303</v>
      </c>
      <c r="M224" t="s">
        <v>4278</v>
      </c>
      <c r="N224">
        <v>2773.44</v>
      </c>
      <c r="P224">
        <f>Table1_2[[#This Row],[Quantity]]*Table1_2[[#This Row],[UnitPrice]]</f>
        <v>2773.44</v>
      </c>
      <c r="Q224" t="s">
        <v>1436</v>
      </c>
      <c r="R224" t="str">
        <f t="shared" si="3"/>
        <v>Outlier</v>
      </c>
    </row>
    <row r="225" spans="1:18" x14ac:dyDescent="0.3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  <c r="P225">
        <f>Table1_2[[#This Row],[Quantity]]*Table1_2[[#This Row],[UnitPrice]]</f>
        <v>2771.64</v>
      </c>
      <c r="Q225" t="s">
        <v>1437</v>
      </c>
      <c r="R225" t="str">
        <f t="shared" si="3"/>
        <v>Outlier</v>
      </c>
    </row>
    <row r="226" spans="1:18" x14ac:dyDescent="0.3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  <c r="P226">
        <f>Table1_2[[#This Row],[Quantity]]*Table1_2[[#This Row],[UnitPrice]]</f>
        <v>365.84</v>
      </c>
      <c r="Q226" t="s">
        <v>1438</v>
      </c>
      <c r="R226" t="str">
        <f t="shared" si="3"/>
        <v>Normal</v>
      </c>
    </row>
    <row r="227" spans="1:18" x14ac:dyDescent="0.3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  <c r="P227">
        <f>Table1_2[[#This Row],[Quantity]]*Table1_2[[#This Row],[UnitPrice]]</f>
        <v>821.87999999999988</v>
      </c>
      <c r="Q227" t="s">
        <v>1439</v>
      </c>
      <c r="R227" t="str">
        <f t="shared" si="3"/>
        <v>Normal</v>
      </c>
    </row>
    <row r="228" spans="1:18" x14ac:dyDescent="0.3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4303</v>
      </c>
      <c r="M228" t="s">
        <v>4278</v>
      </c>
      <c r="N228">
        <v>1764.15</v>
      </c>
      <c r="P228">
        <f>Table1_2[[#This Row],[Quantity]]*Table1_2[[#This Row],[UnitPrice]]</f>
        <v>1764.1499999999999</v>
      </c>
      <c r="Q228" t="s">
        <v>1440</v>
      </c>
      <c r="R228" t="str">
        <f t="shared" si="3"/>
        <v>Normal</v>
      </c>
    </row>
    <row r="229" spans="1:18" x14ac:dyDescent="0.3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  <c r="P229">
        <f>Table1_2[[#This Row],[Quantity]]*Table1_2[[#This Row],[UnitPrice]]</f>
        <v>730.34</v>
      </c>
      <c r="Q229" t="s">
        <v>1441</v>
      </c>
      <c r="R229" t="str">
        <f t="shared" si="3"/>
        <v>Normal</v>
      </c>
    </row>
    <row r="230" spans="1:18" x14ac:dyDescent="0.3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4303</v>
      </c>
      <c r="M230" t="s">
        <v>4278</v>
      </c>
      <c r="N230">
        <v>1543.68</v>
      </c>
      <c r="P230">
        <f>Table1_2[[#This Row],[Quantity]]*Table1_2[[#This Row],[UnitPrice]]</f>
        <v>1543.68</v>
      </c>
      <c r="Q230" t="s">
        <v>1442</v>
      </c>
      <c r="R230" t="str">
        <f t="shared" si="3"/>
        <v>Normal</v>
      </c>
    </row>
    <row r="231" spans="1:18" x14ac:dyDescent="0.3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  <c r="P231">
        <f>Table1_2[[#This Row],[Quantity]]*Table1_2[[#This Row],[UnitPrice]]</f>
        <v>562.61</v>
      </c>
      <c r="Q231" t="s">
        <v>1443</v>
      </c>
      <c r="R231" t="str">
        <f t="shared" si="3"/>
        <v>Normal</v>
      </c>
    </row>
    <row r="232" spans="1:18" x14ac:dyDescent="0.3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  <c r="P232">
        <f>Table1_2[[#This Row],[Quantity]]*Table1_2[[#This Row],[UnitPrice]]</f>
        <v>247.64</v>
      </c>
      <c r="Q232" t="s">
        <v>1444</v>
      </c>
      <c r="R232" t="str">
        <f t="shared" si="3"/>
        <v>Normal</v>
      </c>
    </row>
    <row r="233" spans="1:18" x14ac:dyDescent="0.3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  <c r="P233">
        <f>Table1_2[[#This Row],[Quantity]]*Table1_2[[#This Row],[UnitPrice]]</f>
        <v>167.6</v>
      </c>
      <c r="Q233" t="s">
        <v>1445</v>
      </c>
      <c r="R233" t="str">
        <f t="shared" si="3"/>
        <v>Normal</v>
      </c>
    </row>
    <row r="234" spans="1:18" x14ac:dyDescent="0.3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  <c r="P234">
        <f>Table1_2[[#This Row],[Quantity]]*Table1_2[[#This Row],[UnitPrice]]</f>
        <v>1777.76</v>
      </c>
      <c r="Q234" t="s">
        <v>1446</v>
      </c>
      <c r="R234" t="str">
        <f t="shared" si="3"/>
        <v>Normal</v>
      </c>
    </row>
    <row r="235" spans="1:18" x14ac:dyDescent="0.3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  <c r="P235">
        <f>Table1_2[[#This Row],[Quantity]]*Table1_2[[#This Row],[UnitPrice]]</f>
        <v>933.99</v>
      </c>
      <c r="Q235" t="s">
        <v>1447</v>
      </c>
      <c r="R235" t="str">
        <f t="shared" si="3"/>
        <v>Normal</v>
      </c>
    </row>
    <row r="236" spans="1:18" x14ac:dyDescent="0.3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  <c r="P236">
        <f>Table1_2[[#This Row],[Quantity]]*Table1_2[[#This Row],[UnitPrice]]</f>
        <v>945.64</v>
      </c>
      <c r="Q236" t="s">
        <v>1448</v>
      </c>
      <c r="R236" t="str">
        <f t="shared" si="3"/>
        <v>Normal</v>
      </c>
    </row>
    <row r="237" spans="1:18" x14ac:dyDescent="0.3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  <c r="P237">
        <f>Table1_2[[#This Row],[Quantity]]*Table1_2[[#This Row],[UnitPrice]]</f>
        <v>65.45</v>
      </c>
      <c r="Q237" t="s">
        <v>1449</v>
      </c>
      <c r="R237" t="str">
        <f t="shared" si="3"/>
        <v>Normal</v>
      </c>
    </row>
    <row r="238" spans="1:18" x14ac:dyDescent="0.3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  <c r="P238">
        <f>Table1_2[[#This Row],[Quantity]]*Table1_2[[#This Row],[UnitPrice]]</f>
        <v>318.81</v>
      </c>
      <c r="Q238" t="s">
        <v>1450</v>
      </c>
      <c r="R238" t="str">
        <f t="shared" si="3"/>
        <v>Normal</v>
      </c>
    </row>
    <row r="239" spans="1:18" x14ac:dyDescent="0.3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  <c r="P239">
        <f>Table1_2[[#This Row],[Quantity]]*Table1_2[[#This Row],[UnitPrice]]</f>
        <v>1751.16</v>
      </c>
      <c r="Q239" t="s">
        <v>1451</v>
      </c>
      <c r="R239" t="str">
        <f t="shared" si="3"/>
        <v>Normal</v>
      </c>
    </row>
    <row r="240" spans="1:18" x14ac:dyDescent="0.3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  <c r="P240">
        <f>Table1_2[[#This Row],[Quantity]]*Table1_2[[#This Row],[UnitPrice]]</f>
        <v>1537.28</v>
      </c>
      <c r="Q240" t="s">
        <v>1452</v>
      </c>
      <c r="R240" t="str">
        <f t="shared" si="3"/>
        <v>Normal</v>
      </c>
    </row>
    <row r="241" spans="1:18" x14ac:dyDescent="0.3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  <c r="P241">
        <f>Table1_2[[#This Row],[Quantity]]*Table1_2[[#This Row],[UnitPrice]]</f>
        <v>1616.22</v>
      </c>
      <c r="Q241" t="s">
        <v>1453</v>
      </c>
      <c r="R241" t="str">
        <f t="shared" si="3"/>
        <v>Normal</v>
      </c>
    </row>
    <row r="242" spans="1:18" x14ac:dyDescent="0.3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  <c r="P242">
        <f>Table1_2[[#This Row],[Quantity]]*Table1_2[[#This Row],[UnitPrice]]</f>
        <v>17.239999999999998</v>
      </c>
      <c r="Q242" t="s">
        <v>1454</v>
      </c>
      <c r="R242" t="str">
        <f t="shared" si="3"/>
        <v>Normal</v>
      </c>
    </row>
    <row r="243" spans="1:18" x14ac:dyDescent="0.3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  <c r="P243">
        <f>Table1_2[[#This Row],[Quantity]]*Table1_2[[#This Row],[UnitPrice]]</f>
        <v>3078.35</v>
      </c>
      <c r="Q243" t="s">
        <v>1455</v>
      </c>
      <c r="R243" t="str">
        <f t="shared" si="3"/>
        <v>Outlier</v>
      </c>
    </row>
    <row r="244" spans="1:18" x14ac:dyDescent="0.3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  <c r="P244">
        <f>Table1_2[[#This Row],[Quantity]]*Table1_2[[#This Row],[UnitPrice]]</f>
        <v>438.2</v>
      </c>
      <c r="Q244" t="s">
        <v>1456</v>
      </c>
      <c r="R244" t="str">
        <f t="shared" si="3"/>
        <v>Normal</v>
      </c>
    </row>
    <row r="245" spans="1:18" x14ac:dyDescent="0.3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  <c r="P245">
        <f>Table1_2[[#This Row],[Quantity]]*Table1_2[[#This Row],[UnitPrice]]</f>
        <v>289.32</v>
      </c>
      <c r="Q245" t="s">
        <v>1457</v>
      </c>
      <c r="R245" t="str">
        <f t="shared" si="3"/>
        <v>Normal</v>
      </c>
    </row>
    <row r="246" spans="1:18" x14ac:dyDescent="0.3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  <c r="P246">
        <f>Table1_2[[#This Row],[Quantity]]*Table1_2[[#This Row],[UnitPrice]]</f>
        <v>635.54</v>
      </c>
      <c r="Q246" t="s">
        <v>1458</v>
      </c>
      <c r="R246" t="str">
        <f t="shared" si="3"/>
        <v>Normal</v>
      </c>
    </row>
    <row r="247" spans="1:18" x14ac:dyDescent="0.3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4303</v>
      </c>
      <c r="M247" t="s">
        <v>4281</v>
      </c>
      <c r="N247">
        <v>223.3</v>
      </c>
      <c r="P247">
        <f>Table1_2[[#This Row],[Quantity]]*Table1_2[[#This Row],[UnitPrice]]</f>
        <v>223.3</v>
      </c>
      <c r="Q247" t="s">
        <v>1459</v>
      </c>
      <c r="R247" t="str">
        <f t="shared" si="3"/>
        <v>Normal</v>
      </c>
    </row>
    <row r="248" spans="1:18" x14ac:dyDescent="0.3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  <c r="P248">
        <f>Table1_2[[#This Row],[Quantity]]*Table1_2[[#This Row],[UnitPrice]]</f>
        <v>684.22</v>
      </c>
      <c r="Q248" t="s">
        <v>1460</v>
      </c>
      <c r="R248" t="str">
        <f t="shared" si="3"/>
        <v>Normal</v>
      </c>
    </row>
    <row r="249" spans="1:18" x14ac:dyDescent="0.3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4303</v>
      </c>
      <c r="M249" t="s">
        <v>4280</v>
      </c>
      <c r="N249">
        <v>441.8</v>
      </c>
      <c r="P249">
        <f>Table1_2[[#This Row],[Quantity]]*Table1_2[[#This Row],[UnitPrice]]</f>
        <v>441.8</v>
      </c>
      <c r="Q249" t="s">
        <v>1461</v>
      </c>
      <c r="R249" t="str">
        <f t="shared" si="3"/>
        <v>Normal</v>
      </c>
    </row>
    <row r="250" spans="1:18" x14ac:dyDescent="0.3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  <c r="P250">
        <f>Table1_2[[#This Row],[Quantity]]*Table1_2[[#This Row],[UnitPrice]]</f>
        <v>670.54</v>
      </c>
      <c r="Q250" t="s">
        <v>1462</v>
      </c>
      <c r="R250" t="str">
        <f t="shared" si="3"/>
        <v>Normal</v>
      </c>
    </row>
    <row r="251" spans="1:18" x14ac:dyDescent="0.3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  <c r="P251">
        <f>Table1_2[[#This Row],[Quantity]]*Table1_2[[#This Row],[UnitPrice]]</f>
        <v>546.19000000000005</v>
      </c>
      <c r="Q251" t="s">
        <v>1463</v>
      </c>
      <c r="R251" t="str">
        <f t="shared" si="3"/>
        <v>Normal</v>
      </c>
    </row>
    <row r="252" spans="1:18" x14ac:dyDescent="0.3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  <c r="P252">
        <f>Table1_2[[#This Row],[Quantity]]*Table1_2[[#This Row],[UnitPrice]]</f>
        <v>128.85000000000002</v>
      </c>
      <c r="Q252" t="s">
        <v>1464</v>
      </c>
      <c r="R252" t="str">
        <f t="shared" si="3"/>
        <v>Normal</v>
      </c>
    </row>
    <row r="253" spans="1:18" x14ac:dyDescent="0.3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4303</v>
      </c>
      <c r="M253" t="s">
        <v>4280</v>
      </c>
      <c r="N253">
        <v>58.76</v>
      </c>
      <c r="P253">
        <f>Table1_2[[#This Row],[Quantity]]*Table1_2[[#This Row],[UnitPrice]]</f>
        <v>58.76</v>
      </c>
      <c r="Q253" t="s">
        <v>1465</v>
      </c>
      <c r="R253" t="str">
        <f t="shared" si="3"/>
        <v>Normal</v>
      </c>
    </row>
    <row r="254" spans="1:18" x14ac:dyDescent="0.3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  <c r="P254">
        <f>Table1_2[[#This Row],[Quantity]]*Table1_2[[#This Row],[UnitPrice]]</f>
        <v>2673.44</v>
      </c>
      <c r="Q254" t="s">
        <v>1466</v>
      </c>
      <c r="R254" t="str">
        <f t="shared" si="3"/>
        <v>Outlier</v>
      </c>
    </row>
    <row r="255" spans="1:18" x14ac:dyDescent="0.3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  <c r="P255">
        <f>Table1_2[[#This Row],[Quantity]]*Table1_2[[#This Row],[UnitPrice]]</f>
        <v>1654.96</v>
      </c>
      <c r="Q255" t="s">
        <v>1467</v>
      </c>
      <c r="R255" t="str">
        <f t="shared" si="3"/>
        <v>Normal</v>
      </c>
    </row>
    <row r="256" spans="1:18" x14ac:dyDescent="0.3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4303</v>
      </c>
      <c r="M256" t="s">
        <v>4278</v>
      </c>
      <c r="N256">
        <v>789.56999999999994</v>
      </c>
      <c r="P256">
        <f>Table1_2[[#This Row],[Quantity]]*Table1_2[[#This Row],[UnitPrice]]</f>
        <v>789.56999999999994</v>
      </c>
      <c r="Q256" t="s">
        <v>1468</v>
      </c>
      <c r="R256" t="str">
        <f t="shared" si="3"/>
        <v>Normal</v>
      </c>
    </row>
    <row r="257" spans="1:18" x14ac:dyDescent="0.3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  <c r="P257">
        <f>Table1_2[[#This Row],[Quantity]]*Table1_2[[#This Row],[UnitPrice]]</f>
        <v>263.95999999999998</v>
      </c>
      <c r="Q257" t="s">
        <v>1469</v>
      </c>
      <c r="R257" t="str">
        <f t="shared" si="3"/>
        <v>Normal</v>
      </c>
    </row>
    <row r="258" spans="1:18" x14ac:dyDescent="0.3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  <c r="P258">
        <f>Table1_2[[#This Row],[Quantity]]*Table1_2[[#This Row],[UnitPrice]]</f>
        <v>379.05</v>
      </c>
      <c r="Q258" t="s">
        <v>1470</v>
      </c>
      <c r="R258" t="str">
        <f t="shared" si="3"/>
        <v>Normal</v>
      </c>
    </row>
    <row r="259" spans="1:18" x14ac:dyDescent="0.3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  <c r="P259">
        <f>Table1_2[[#This Row],[Quantity]]*Table1_2[[#This Row],[UnitPrice]]</f>
        <v>406.22</v>
      </c>
      <c r="Q259" t="s">
        <v>1471</v>
      </c>
      <c r="R259" t="str">
        <f t="shared" ref="R259:R322" si="4">IF(OR(N259&lt;$S$2-1.5*($T$2-$S$2),N259&gt;$S$2+1.5*($T$2-$S$2)), "Outlier", "Normal")</f>
        <v>Normal</v>
      </c>
    </row>
    <row r="260" spans="1:18" x14ac:dyDescent="0.3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  <c r="P260">
        <f>Table1_2[[#This Row],[Quantity]]*Table1_2[[#This Row],[UnitPrice]]</f>
        <v>206.82</v>
      </c>
      <c r="Q260" t="s">
        <v>1472</v>
      </c>
      <c r="R260" t="str">
        <f t="shared" si="4"/>
        <v>Normal</v>
      </c>
    </row>
    <row r="261" spans="1:18" x14ac:dyDescent="0.3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  <c r="P261">
        <f>Table1_2[[#This Row],[Quantity]]*Table1_2[[#This Row],[UnitPrice]]</f>
        <v>1740.48</v>
      </c>
      <c r="Q261" t="s">
        <v>1473</v>
      </c>
      <c r="R261" t="str">
        <f t="shared" si="4"/>
        <v>Normal</v>
      </c>
    </row>
    <row r="262" spans="1:18" x14ac:dyDescent="0.3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4303</v>
      </c>
      <c r="M262" t="s">
        <v>4282</v>
      </c>
      <c r="N262">
        <v>815.58</v>
      </c>
      <c r="P262">
        <f>Table1_2[[#This Row],[Quantity]]*Table1_2[[#This Row],[UnitPrice]]</f>
        <v>815.58</v>
      </c>
      <c r="Q262" t="s">
        <v>1474</v>
      </c>
      <c r="R262" t="str">
        <f t="shared" si="4"/>
        <v>Normal</v>
      </c>
    </row>
    <row r="263" spans="1:18" x14ac:dyDescent="0.3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  <c r="P263">
        <f>Table1_2[[#This Row],[Quantity]]*Table1_2[[#This Row],[UnitPrice]]</f>
        <v>868.25</v>
      </c>
      <c r="Q263" t="s">
        <v>1475</v>
      </c>
      <c r="R263" t="str">
        <f t="shared" si="4"/>
        <v>Normal</v>
      </c>
    </row>
    <row r="264" spans="1:18" x14ac:dyDescent="0.3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  <c r="P264">
        <f>Table1_2[[#This Row],[Quantity]]*Table1_2[[#This Row],[UnitPrice]]</f>
        <v>996.28</v>
      </c>
      <c r="Q264" t="s">
        <v>1476</v>
      </c>
      <c r="R264" t="str">
        <f t="shared" si="4"/>
        <v>Normal</v>
      </c>
    </row>
    <row r="265" spans="1:18" x14ac:dyDescent="0.3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  <c r="P265">
        <f>Table1_2[[#This Row],[Quantity]]*Table1_2[[#This Row],[UnitPrice]]</f>
        <v>1739.4</v>
      </c>
      <c r="Q265" t="s">
        <v>1477</v>
      </c>
      <c r="R265" t="str">
        <f t="shared" si="4"/>
        <v>Normal</v>
      </c>
    </row>
    <row r="266" spans="1:18" x14ac:dyDescent="0.3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  <c r="P266">
        <f>Table1_2[[#This Row],[Quantity]]*Table1_2[[#This Row],[UnitPrice]]</f>
        <v>436.77</v>
      </c>
      <c r="Q266" t="s">
        <v>1478</v>
      </c>
      <c r="R266" t="str">
        <f t="shared" si="4"/>
        <v>Normal</v>
      </c>
    </row>
    <row r="267" spans="1:18" x14ac:dyDescent="0.3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  <c r="P267">
        <f>Table1_2[[#This Row],[Quantity]]*Table1_2[[#This Row],[UnitPrice]]</f>
        <v>572.13</v>
      </c>
      <c r="Q267" t="s">
        <v>1479</v>
      </c>
      <c r="R267" t="str">
        <f t="shared" si="4"/>
        <v>Normal</v>
      </c>
    </row>
    <row r="268" spans="1:18" x14ac:dyDescent="0.3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  <c r="P268">
        <f>Table1_2[[#This Row],[Quantity]]*Table1_2[[#This Row],[UnitPrice]]</f>
        <v>2332.2800000000002</v>
      </c>
      <c r="Q268" t="s">
        <v>1480</v>
      </c>
      <c r="R268" t="str">
        <f t="shared" si="4"/>
        <v>Outlier</v>
      </c>
    </row>
    <row r="269" spans="1:18" x14ac:dyDescent="0.3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4303</v>
      </c>
      <c r="M269" t="s">
        <v>4281</v>
      </c>
      <c r="N269">
        <v>2342.5500000000002</v>
      </c>
      <c r="P269">
        <f>Table1_2[[#This Row],[Quantity]]*Table1_2[[#This Row],[UnitPrice]]</f>
        <v>2342.5500000000002</v>
      </c>
      <c r="Q269" t="s">
        <v>1481</v>
      </c>
      <c r="R269" t="str">
        <f t="shared" si="4"/>
        <v>Outlier</v>
      </c>
    </row>
    <row r="270" spans="1:18" x14ac:dyDescent="0.3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  <c r="P270">
        <f>Table1_2[[#This Row],[Quantity]]*Table1_2[[#This Row],[UnitPrice]]</f>
        <v>847.76</v>
      </c>
      <c r="Q270" t="s">
        <v>1482</v>
      </c>
      <c r="R270" t="str">
        <f t="shared" si="4"/>
        <v>Normal</v>
      </c>
    </row>
    <row r="271" spans="1:18" x14ac:dyDescent="0.3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  <c r="P271">
        <f>Table1_2[[#This Row],[Quantity]]*Table1_2[[#This Row],[UnitPrice]]</f>
        <v>2654.68</v>
      </c>
      <c r="Q271" t="s">
        <v>1483</v>
      </c>
      <c r="R271" t="str">
        <f t="shared" si="4"/>
        <v>Outlier</v>
      </c>
    </row>
    <row r="272" spans="1:18" x14ac:dyDescent="0.3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  <c r="P272">
        <f>Table1_2[[#This Row],[Quantity]]*Table1_2[[#This Row],[UnitPrice]]</f>
        <v>1239.6400000000001</v>
      </c>
      <c r="Q272" t="s">
        <v>1484</v>
      </c>
      <c r="R272" t="str">
        <f t="shared" si="4"/>
        <v>Normal</v>
      </c>
    </row>
    <row r="273" spans="1:18" x14ac:dyDescent="0.3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  <c r="P273">
        <f>Table1_2[[#This Row],[Quantity]]*Table1_2[[#This Row],[UnitPrice]]</f>
        <v>542.07000000000005</v>
      </c>
      <c r="Q273" t="s">
        <v>1485</v>
      </c>
      <c r="R273" t="str">
        <f t="shared" si="4"/>
        <v>Normal</v>
      </c>
    </row>
    <row r="274" spans="1:18" x14ac:dyDescent="0.3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  <c r="P274">
        <f>Table1_2[[#This Row],[Quantity]]*Table1_2[[#This Row],[UnitPrice]]</f>
        <v>798.64</v>
      </c>
      <c r="Q274" t="s">
        <v>1486</v>
      </c>
      <c r="R274" t="str">
        <f t="shared" si="4"/>
        <v>Normal</v>
      </c>
    </row>
    <row r="275" spans="1:18" x14ac:dyDescent="0.3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  <c r="P275">
        <f>Table1_2[[#This Row],[Quantity]]*Table1_2[[#This Row],[UnitPrice]]</f>
        <v>476.5</v>
      </c>
      <c r="Q275" t="s">
        <v>1487</v>
      </c>
      <c r="R275" t="str">
        <f t="shared" si="4"/>
        <v>Normal</v>
      </c>
    </row>
    <row r="276" spans="1:18" x14ac:dyDescent="0.3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  <c r="P276">
        <f>Table1_2[[#This Row],[Quantity]]*Table1_2[[#This Row],[UnitPrice]]</f>
        <v>364.8</v>
      </c>
      <c r="Q276" t="s">
        <v>1488</v>
      </c>
      <c r="R276" t="str">
        <f t="shared" si="4"/>
        <v>Normal</v>
      </c>
    </row>
    <row r="277" spans="1:18" x14ac:dyDescent="0.3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  <c r="P277">
        <f>Table1_2[[#This Row],[Quantity]]*Table1_2[[#This Row],[UnitPrice]]</f>
        <v>130.13999999999999</v>
      </c>
      <c r="Q277" t="s">
        <v>1489</v>
      </c>
      <c r="R277" t="str">
        <f t="shared" si="4"/>
        <v>Normal</v>
      </c>
    </row>
    <row r="278" spans="1:18" x14ac:dyDescent="0.3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  <c r="P278">
        <f>Table1_2[[#This Row],[Quantity]]*Table1_2[[#This Row],[UnitPrice]]</f>
        <v>1201.1400000000001</v>
      </c>
      <c r="Q278" t="s">
        <v>1490</v>
      </c>
      <c r="R278" t="str">
        <f t="shared" si="4"/>
        <v>Normal</v>
      </c>
    </row>
    <row r="279" spans="1:18" x14ac:dyDescent="0.3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  <c r="P279">
        <f>Table1_2[[#This Row],[Quantity]]*Table1_2[[#This Row],[UnitPrice]]</f>
        <v>454.6</v>
      </c>
      <c r="Q279" t="s">
        <v>1491</v>
      </c>
      <c r="R279" t="str">
        <f t="shared" si="4"/>
        <v>Normal</v>
      </c>
    </row>
    <row r="280" spans="1:18" x14ac:dyDescent="0.3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  <c r="P280">
        <f>Table1_2[[#This Row],[Quantity]]*Table1_2[[#This Row],[UnitPrice]]</f>
        <v>1812.3</v>
      </c>
      <c r="Q280" t="s">
        <v>1492</v>
      </c>
      <c r="R280" t="str">
        <f t="shared" si="4"/>
        <v>Normal</v>
      </c>
    </row>
    <row r="281" spans="1:18" x14ac:dyDescent="0.3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  <c r="P281">
        <f>Table1_2[[#This Row],[Quantity]]*Table1_2[[#This Row],[UnitPrice]]</f>
        <v>165.03</v>
      </c>
      <c r="Q281" t="s">
        <v>1493</v>
      </c>
      <c r="R281" t="str">
        <f t="shared" si="4"/>
        <v>Normal</v>
      </c>
    </row>
    <row r="282" spans="1:18" x14ac:dyDescent="0.3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  <c r="P282">
        <f>Table1_2[[#This Row],[Quantity]]*Table1_2[[#This Row],[UnitPrice]]</f>
        <v>1213.8600000000001</v>
      </c>
      <c r="Q282" t="s">
        <v>1494</v>
      </c>
      <c r="R282" t="str">
        <f t="shared" si="4"/>
        <v>Normal</v>
      </c>
    </row>
    <row r="283" spans="1:18" x14ac:dyDescent="0.3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4303</v>
      </c>
      <c r="M283" t="s">
        <v>4279</v>
      </c>
      <c r="N283">
        <v>2619.16</v>
      </c>
      <c r="P283">
        <f>Table1_2[[#This Row],[Quantity]]*Table1_2[[#This Row],[UnitPrice]]</f>
        <v>2619.16</v>
      </c>
      <c r="Q283" t="s">
        <v>1495</v>
      </c>
      <c r="R283" t="str">
        <f t="shared" si="4"/>
        <v>Outlier</v>
      </c>
    </row>
    <row r="284" spans="1:18" x14ac:dyDescent="0.3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  <c r="P284">
        <f>Table1_2[[#This Row],[Quantity]]*Table1_2[[#This Row],[UnitPrice]]</f>
        <v>2551.16</v>
      </c>
      <c r="Q284" t="s">
        <v>1496</v>
      </c>
      <c r="R284" t="str">
        <f t="shared" si="4"/>
        <v>Outlier</v>
      </c>
    </row>
    <row r="285" spans="1:18" x14ac:dyDescent="0.3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4303</v>
      </c>
      <c r="M285" t="s">
        <v>4282</v>
      </c>
      <c r="N285">
        <v>2161.3200000000002</v>
      </c>
      <c r="P285">
        <f>Table1_2[[#This Row],[Quantity]]*Table1_2[[#This Row],[UnitPrice]]</f>
        <v>2161.3200000000002</v>
      </c>
      <c r="Q285" t="s">
        <v>1497</v>
      </c>
      <c r="R285" t="str">
        <f t="shared" si="4"/>
        <v>Normal</v>
      </c>
    </row>
    <row r="286" spans="1:18" x14ac:dyDescent="0.3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  <c r="P286">
        <f>Table1_2[[#This Row],[Quantity]]*Table1_2[[#This Row],[UnitPrice]]</f>
        <v>1040.8499999999999</v>
      </c>
      <c r="Q286" t="s">
        <v>1498</v>
      </c>
      <c r="R286" t="str">
        <f t="shared" si="4"/>
        <v>Normal</v>
      </c>
    </row>
    <row r="287" spans="1:18" x14ac:dyDescent="0.3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4303</v>
      </c>
      <c r="M287" t="s">
        <v>4282</v>
      </c>
      <c r="N287">
        <v>338.31</v>
      </c>
      <c r="P287">
        <f>Table1_2[[#This Row],[Quantity]]*Table1_2[[#This Row],[UnitPrice]]</f>
        <v>338.31</v>
      </c>
      <c r="Q287" t="s">
        <v>1499</v>
      </c>
      <c r="R287" t="str">
        <f t="shared" si="4"/>
        <v>Normal</v>
      </c>
    </row>
    <row r="288" spans="1:18" x14ac:dyDescent="0.3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  <c r="P288">
        <f>Table1_2[[#This Row],[Quantity]]*Table1_2[[#This Row],[UnitPrice]]</f>
        <v>418.34999999999997</v>
      </c>
      <c r="Q288" t="s">
        <v>1500</v>
      </c>
      <c r="R288" t="str">
        <f t="shared" si="4"/>
        <v>Normal</v>
      </c>
    </row>
    <row r="289" spans="1:18" x14ac:dyDescent="0.3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4303</v>
      </c>
      <c r="M289" t="s">
        <v>4281</v>
      </c>
      <c r="N289">
        <v>2620.7199999999998</v>
      </c>
      <c r="P289">
        <f>Table1_2[[#This Row],[Quantity]]*Table1_2[[#This Row],[UnitPrice]]</f>
        <v>2620.7199999999998</v>
      </c>
      <c r="Q289" t="s">
        <v>1501</v>
      </c>
      <c r="R289" t="str">
        <f t="shared" si="4"/>
        <v>Outlier</v>
      </c>
    </row>
    <row r="290" spans="1:18" x14ac:dyDescent="0.3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  <c r="P290">
        <f>Table1_2[[#This Row],[Quantity]]*Table1_2[[#This Row],[UnitPrice]]</f>
        <v>2051</v>
      </c>
      <c r="Q290" t="s">
        <v>1502</v>
      </c>
      <c r="R290" t="str">
        <f t="shared" si="4"/>
        <v>Normal</v>
      </c>
    </row>
    <row r="291" spans="1:18" x14ac:dyDescent="0.3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  <c r="P291">
        <f>Table1_2[[#This Row],[Quantity]]*Table1_2[[#This Row],[UnitPrice]]</f>
        <v>641.96</v>
      </c>
      <c r="Q291" t="s">
        <v>1503</v>
      </c>
      <c r="R291" t="str">
        <f t="shared" si="4"/>
        <v>Normal</v>
      </c>
    </row>
    <row r="292" spans="1:18" x14ac:dyDescent="0.3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  <c r="P292">
        <f>Table1_2[[#This Row],[Quantity]]*Table1_2[[#This Row],[UnitPrice]]</f>
        <v>299.70000000000005</v>
      </c>
      <c r="Q292" t="s">
        <v>1504</v>
      </c>
      <c r="R292" t="str">
        <f t="shared" si="4"/>
        <v>Normal</v>
      </c>
    </row>
    <row r="293" spans="1:18" x14ac:dyDescent="0.3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  <c r="P293">
        <f>Table1_2[[#This Row],[Quantity]]*Table1_2[[#This Row],[UnitPrice]]</f>
        <v>690.02</v>
      </c>
      <c r="Q293" t="s">
        <v>1505</v>
      </c>
      <c r="R293" t="str">
        <f t="shared" si="4"/>
        <v>Normal</v>
      </c>
    </row>
    <row r="294" spans="1:18" x14ac:dyDescent="0.3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4303</v>
      </c>
      <c r="M294" t="s">
        <v>4281</v>
      </c>
      <c r="N294">
        <v>65.95</v>
      </c>
      <c r="P294">
        <f>Table1_2[[#This Row],[Quantity]]*Table1_2[[#This Row],[UnitPrice]]</f>
        <v>65.95</v>
      </c>
      <c r="Q294" t="s">
        <v>1506</v>
      </c>
      <c r="R294" t="str">
        <f t="shared" si="4"/>
        <v>Normal</v>
      </c>
    </row>
    <row r="295" spans="1:18" x14ac:dyDescent="0.3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4303</v>
      </c>
      <c r="M295" t="s">
        <v>4278</v>
      </c>
      <c r="N295">
        <v>1852.16</v>
      </c>
      <c r="P295">
        <f>Table1_2[[#This Row],[Quantity]]*Table1_2[[#This Row],[UnitPrice]]</f>
        <v>1852.16</v>
      </c>
      <c r="Q295" t="s">
        <v>1507</v>
      </c>
      <c r="R295" t="str">
        <f t="shared" si="4"/>
        <v>Normal</v>
      </c>
    </row>
    <row r="296" spans="1:18" x14ac:dyDescent="0.3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  <c r="P296">
        <f>Table1_2[[#This Row],[Quantity]]*Table1_2[[#This Row],[UnitPrice]]</f>
        <v>595.41999999999996</v>
      </c>
      <c r="Q296" t="s">
        <v>1508</v>
      </c>
      <c r="R296" t="str">
        <f t="shared" si="4"/>
        <v>Normal</v>
      </c>
    </row>
    <row r="297" spans="1:18" x14ac:dyDescent="0.3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  <c r="P297">
        <f>Table1_2[[#This Row],[Quantity]]*Table1_2[[#This Row],[UnitPrice]]</f>
        <v>537.4</v>
      </c>
      <c r="Q297" t="s">
        <v>1509</v>
      </c>
      <c r="R297" t="str">
        <f t="shared" si="4"/>
        <v>Normal</v>
      </c>
    </row>
    <row r="298" spans="1:18" x14ac:dyDescent="0.3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  <c r="P298">
        <f>Table1_2[[#This Row],[Quantity]]*Table1_2[[#This Row],[UnitPrice]]</f>
        <v>3194</v>
      </c>
      <c r="Q298" t="s">
        <v>1510</v>
      </c>
      <c r="R298" t="str">
        <f t="shared" si="4"/>
        <v>Outlier</v>
      </c>
    </row>
    <row r="299" spans="1:18" x14ac:dyDescent="0.3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  <c r="P299">
        <f>Table1_2[[#This Row],[Quantity]]*Table1_2[[#This Row],[UnitPrice]]</f>
        <v>987.76</v>
      </c>
      <c r="Q299" t="s">
        <v>1511</v>
      </c>
      <c r="R299" t="str">
        <f t="shared" si="4"/>
        <v>Normal</v>
      </c>
    </row>
    <row r="300" spans="1:18" x14ac:dyDescent="0.3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4303</v>
      </c>
      <c r="M300" t="s">
        <v>4280</v>
      </c>
      <c r="N300">
        <v>1204.68</v>
      </c>
      <c r="P300">
        <f>Table1_2[[#This Row],[Quantity]]*Table1_2[[#This Row],[UnitPrice]]</f>
        <v>1204.68</v>
      </c>
      <c r="Q300" t="s">
        <v>1512</v>
      </c>
      <c r="R300" t="str">
        <f t="shared" si="4"/>
        <v>Normal</v>
      </c>
    </row>
    <row r="301" spans="1:18" x14ac:dyDescent="0.3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  <c r="P301">
        <f>Table1_2[[#This Row],[Quantity]]*Table1_2[[#This Row],[UnitPrice]]</f>
        <v>278.66000000000003</v>
      </c>
      <c r="Q301" t="s">
        <v>1513</v>
      </c>
      <c r="R301" t="str">
        <f t="shared" si="4"/>
        <v>Normal</v>
      </c>
    </row>
    <row r="302" spans="1:18" x14ac:dyDescent="0.3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  <c r="P302">
        <f>Table1_2[[#This Row],[Quantity]]*Table1_2[[#This Row],[UnitPrice]]</f>
        <v>287.45999999999998</v>
      </c>
      <c r="Q302" t="s">
        <v>1514</v>
      </c>
      <c r="R302" t="str">
        <f t="shared" si="4"/>
        <v>Normal</v>
      </c>
    </row>
    <row r="303" spans="1:18" x14ac:dyDescent="0.3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  <c r="P303">
        <f>Table1_2[[#This Row],[Quantity]]*Table1_2[[#This Row],[UnitPrice]]</f>
        <v>583.99</v>
      </c>
      <c r="Q303" t="s">
        <v>1515</v>
      </c>
      <c r="R303" t="str">
        <f t="shared" si="4"/>
        <v>Normal</v>
      </c>
    </row>
    <row r="304" spans="1:18" x14ac:dyDescent="0.3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  <c r="P304">
        <f>Table1_2[[#This Row],[Quantity]]*Table1_2[[#This Row],[UnitPrice]]</f>
        <v>1406.22</v>
      </c>
      <c r="Q304" t="s">
        <v>1516</v>
      </c>
      <c r="R304" t="str">
        <f t="shared" si="4"/>
        <v>Normal</v>
      </c>
    </row>
    <row r="305" spans="1:18" x14ac:dyDescent="0.3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4303</v>
      </c>
      <c r="M305" t="s">
        <v>4282</v>
      </c>
      <c r="N305">
        <v>30.54</v>
      </c>
      <c r="P305">
        <f>Table1_2[[#This Row],[Quantity]]*Table1_2[[#This Row],[UnitPrice]]</f>
        <v>30.54</v>
      </c>
      <c r="Q305" t="s">
        <v>1517</v>
      </c>
      <c r="R305" t="str">
        <f t="shared" si="4"/>
        <v>Normal</v>
      </c>
    </row>
    <row r="306" spans="1:18" x14ac:dyDescent="0.3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  <c r="P306">
        <f>Table1_2[[#This Row],[Quantity]]*Table1_2[[#This Row],[UnitPrice]]</f>
        <v>2043.65</v>
      </c>
      <c r="Q306" t="s">
        <v>1518</v>
      </c>
      <c r="R306" t="str">
        <f t="shared" si="4"/>
        <v>Normal</v>
      </c>
    </row>
    <row r="307" spans="1:18" x14ac:dyDescent="0.3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  <c r="P307">
        <f>Table1_2[[#This Row],[Quantity]]*Table1_2[[#This Row],[UnitPrice]]</f>
        <v>507.56</v>
      </c>
      <c r="Q307" t="s">
        <v>1519</v>
      </c>
      <c r="R307" t="str">
        <f t="shared" si="4"/>
        <v>Normal</v>
      </c>
    </row>
    <row r="308" spans="1:18" x14ac:dyDescent="0.3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  <c r="P308">
        <f>Table1_2[[#This Row],[Quantity]]*Table1_2[[#This Row],[UnitPrice]]</f>
        <v>114.14</v>
      </c>
      <c r="Q308" t="s">
        <v>1520</v>
      </c>
      <c r="R308" t="str">
        <f t="shared" si="4"/>
        <v>Normal</v>
      </c>
    </row>
    <row r="309" spans="1:18" x14ac:dyDescent="0.3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4303</v>
      </c>
      <c r="M309" t="s">
        <v>4280</v>
      </c>
      <c r="N309">
        <v>1672.23</v>
      </c>
      <c r="P309">
        <f>Table1_2[[#This Row],[Quantity]]*Table1_2[[#This Row],[UnitPrice]]</f>
        <v>1672.23</v>
      </c>
      <c r="Q309" t="s">
        <v>1521</v>
      </c>
      <c r="R309" t="str">
        <f t="shared" si="4"/>
        <v>Normal</v>
      </c>
    </row>
    <row r="310" spans="1:18" x14ac:dyDescent="0.3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  <c r="P310">
        <f>Table1_2[[#This Row],[Quantity]]*Table1_2[[#This Row],[UnitPrice]]</f>
        <v>1346.6999999999998</v>
      </c>
      <c r="Q310" t="s">
        <v>1522</v>
      </c>
      <c r="R310" t="str">
        <f t="shared" si="4"/>
        <v>Normal</v>
      </c>
    </row>
    <row r="311" spans="1:18" x14ac:dyDescent="0.3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  <c r="P311">
        <f>Table1_2[[#This Row],[Quantity]]*Table1_2[[#This Row],[UnitPrice]]</f>
        <v>2199.04</v>
      </c>
      <c r="Q311" t="s">
        <v>1523</v>
      </c>
      <c r="R311" t="str">
        <f t="shared" si="4"/>
        <v>Outlier</v>
      </c>
    </row>
    <row r="312" spans="1:18" x14ac:dyDescent="0.3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4303</v>
      </c>
      <c r="M312" t="s">
        <v>4279</v>
      </c>
      <c r="N312">
        <v>397.43999999999988</v>
      </c>
      <c r="P312">
        <f>Table1_2[[#This Row],[Quantity]]*Table1_2[[#This Row],[UnitPrice]]</f>
        <v>397.43999999999994</v>
      </c>
      <c r="Q312" t="s">
        <v>1524</v>
      </c>
      <c r="R312" t="str">
        <f t="shared" si="4"/>
        <v>Normal</v>
      </c>
    </row>
    <row r="313" spans="1:18" x14ac:dyDescent="0.3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4303</v>
      </c>
      <c r="M313" t="s">
        <v>4278</v>
      </c>
      <c r="N313">
        <v>2446.85</v>
      </c>
      <c r="P313">
        <f>Table1_2[[#This Row],[Quantity]]*Table1_2[[#This Row],[UnitPrice]]</f>
        <v>2446.85</v>
      </c>
      <c r="Q313" t="s">
        <v>1525</v>
      </c>
      <c r="R313" t="str">
        <f t="shared" si="4"/>
        <v>Outlier</v>
      </c>
    </row>
    <row r="314" spans="1:18" x14ac:dyDescent="0.3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  <c r="P314">
        <f>Table1_2[[#This Row],[Quantity]]*Table1_2[[#This Row],[UnitPrice]]</f>
        <v>331.55</v>
      </c>
      <c r="Q314" t="s">
        <v>1526</v>
      </c>
      <c r="R314" t="str">
        <f t="shared" si="4"/>
        <v>Normal</v>
      </c>
    </row>
    <row r="315" spans="1:18" x14ac:dyDescent="0.3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  <c r="P315">
        <f>Table1_2[[#This Row],[Quantity]]*Table1_2[[#This Row],[UnitPrice]]</f>
        <v>868.6</v>
      </c>
      <c r="Q315" t="s">
        <v>1527</v>
      </c>
      <c r="R315" t="str">
        <f t="shared" si="4"/>
        <v>Normal</v>
      </c>
    </row>
    <row r="316" spans="1:18" x14ac:dyDescent="0.3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  <c r="P316">
        <f>Table1_2[[#This Row],[Quantity]]*Table1_2[[#This Row],[UnitPrice]]</f>
        <v>612.36</v>
      </c>
      <c r="Q316" t="s">
        <v>1528</v>
      </c>
      <c r="R316" t="str">
        <f t="shared" si="4"/>
        <v>Normal</v>
      </c>
    </row>
    <row r="317" spans="1:18" x14ac:dyDescent="0.3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  <c r="P317">
        <f>Table1_2[[#This Row],[Quantity]]*Table1_2[[#This Row],[UnitPrice]]</f>
        <v>458.35</v>
      </c>
      <c r="Q317" t="s">
        <v>1529</v>
      </c>
      <c r="R317" t="str">
        <f t="shared" si="4"/>
        <v>Normal</v>
      </c>
    </row>
    <row r="318" spans="1:18" x14ac:dyDescent="0.3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  <c r="P318">
        <f>Table1_2[[#This Row],[Quantity]]*Table1_2[[#This Row],[UnitPrice]]</f>
        <v>1101.1199999999999</v>
      </c>
      <c r="Q318" t="s">
        <v>1530</v>
      </c>
      <c r="R318" t="str">
        <f t="shared" si="4"/>
        <v>Normal</v>
      </c>
    </row>
    <row r="319" spans="1:18" x14ac:dyDescent="0.3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4303</v>
      </c>
      <c r="M319" t="s">
        <v>4278</v>
      </c>
      <c r="N319">
        <v>279.89999999999998</v>
      </c>
      <c r="P319">
        <f>Table1_2[[#This Row],[Quantity]]*Table1_2[[#This Row],[UnitPrice]]</f>
        <v>279.89999999999998</v>
      </c>
      <c r="Q319" t="s">
        <v>1531</v>
      </c>
      <c r="R319" t="str">
        <f t="shared" si="4"/>
        <v>Normal</v>
      </c>
    </row>
    <row r="320" spans="1:18" x14ac:dyDescent="0.3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  <c r="P320">
        <f>Table1_2[[#This Row],[Quantity]]*Table1_2[[#This Row],[UnitPrice]]</f>
        <v>446.15999999999997</v>
      </c>
      <c r="Q320" t="s">
        <v>1532</v>
      </c>
      <c r="R320" t="str">
        <f t="shared" si="4"/>
        <v>Normal</v>
      </c>
    </row>
    <row r="321" spans="1:18" x14ac:dyDescent="0.3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4303</v>
      </c>
      <c r="M321" t="s">
        <v>4278</v>
      </c>
      <c r="N321">
        <v>1126.1199999999999</v>
      </c>
      <c r="P321">
        <f>Table1_2[[#This Row],[Quantity]]*Table1_2[[#This Row],[UnitPrice]]</f>
        <v>1126.1199999999999</v>
      </c>
      <c r="Q321" t="s">
        <v>1533</v>
      </c>
      <c r="R321" t="str">
        <f t="shared" si="4"/>
        <v>Normal</v>
      </c>
    </row>
    <row r="322" spans="1:18" x14ac:dyDescent="0.3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  <c r="P322">
        <f>Table1_2[[#This Row],[Quantity]]*Table1_2[[#This Row],[UnitPrice]]</f>
        <v>625.51</v>
      </c>
      <c r="Q322" t="s">
        <v>1534</v>
      </c>
      <c r="R322" t="str">
        <f t="shared" si="4"/>
        <v>Normal</v>
      </c>
    </row>
    <row r="323" spans="1:18" x14ac:dyDescent="0.3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  <c r="P323">
        <f>Table1_2[[#This Row],[Quantity]]*Table1_2[[#This Row],[UnitPrice]]</f>
        <v>609.16</v>
      </c>
      <c r="Q323" t="s">
        <v>1535</v>
      </c>
      <c r="R323" t="str">
        <f t="shared" ref="R323:R386" si="5">IF(OR(N323&lt;$S$2-1.5*($T$2-$S$2),N323&gt;$S$2+1.5*($T$2-$S$2)), "Outlier", "Normal")</f>
        <v>Normal</v>
      </c>
    </row>
    <row r="324" spans="1:18" x14ac:dyDescent="0.3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  <c r="P324">
        <f>Table1_2[[#This Row],[Quantity]]*Table1_2[[#This Row],[UnitPrice]]</f>
        <v>1159.0999999999999</v>
      </c>
      <c r="Q324" t="s">
        <v>1536</v>
      </c>
      <c r="R324" t="str">
        <f t="shared" si="5"/>
        <v>Normal</v>
      </c>
    </row>
    <row r="325" spans="1:18" x14ac:dyDescent="0.3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  <c r="P325">
        <f>Table1_2[[#This Row],[Quantity]]*Table1_2[[#This Row],[UnitPrice]]</f>
        <v>150.16999999999999</v>
      </c>
      <c r="Q325" t="s">
        <v>1537</v>
      </c>
      <c r="R325" t="str">
        <f t="shared" si="5"/>
        <v>Normal</v>
      </c>
    </row>
    <row r="326" spans="1:18" x14ac:dyDescent="0.3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4303</v>
      </c>
      <c r="M326" t="s">
        <v>4279</v>
      </c>
      <c r="N326">
        <v>212.79</v>
      </c>
      <c r="P326">
        <f>Table1_2[[#This Row],[Quantity]]*Table1_2[[#This Row],[UnitPrice]]</f>
        <v>212.79000000000002</v>
      </c>
      <c r="Q326" t="s">
        <v>1538</v>
      </c>
      <c r="R326" t="str">
        <f t="shared" si="5"/>
        <v>Normal</v>
      </c>
    </row>
    <row r="327" spans="1:18" x14ac:dyDescent="0.3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4303</v>
      </c>
      <c r="M327" t="s">
        <v>4279</v>
      </c>
      <c r="N327">
        <v>1084.17</v>
      </c>
      <c r="P327">
        <f>Table1_2[[#This Row],[Quantity]]*Table1_2[[#This Row],[UnitPrice]]</f>
        <v>1084.17</v>
      </c>
      <c r="Q327" t="s">
        <v>1539</v>
      </c>
      <c r="R327" t="str">
        <f t="shared" si="5"/>
        <v>Normal</v>
      </c>
    </row>
    <row r="328" spans="1:18" x14ac:dyDescent="0.3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  <c r="P328">
        <f>Table1_2[[#This Row],[Quantity]]*Table1_2[[#This Row],[UnitPrice]]</f>
        <v>3352.4</v>
      </c>
      <c r="Q328" t="s">
        <v>1540</v>
      </c>
      <c r="R328" t="str">
        <f t="shared" si="5"/>
        <v>Outlier</v>
      </c>
    </row>
    <row r="329" spans="1:18" x14ac:dyDescent="0.3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  <c r="P329">
        <f>Table1_2[[#This Row],[Quantity]]*Table1_2[[#This Row],[UnitPrice]]</f>
        <v>359.99</v>
      </c>
      <c r="Q329" t="s">
        <v>1541</v>
      </c>
      <c r="R329" t="str">
        <f t="shared" si="5"/>
        <v>Normal</v>
      </c>
    </row>
    <row r="330" spans="1:18" x14ac:dyDescent="0.3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  <c r="P330">
        <f>Table1_2[[#This Row],[Quantity]]*Table1_2[[#This Row],[UnitPrice]]</f>
        <v>3370.2</v>
      </c>
      <c r="Q330" t="s">
        <v>1542</v>
      </c>
      <c r="R330" t="str">
        <f t="shared" si="5"/>
        <v>Outlier</v>
      </c>
    </row>
    <row r="331" spans="1:18" x14ac:dyDescent="0.3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4303</v>
      </c>
      <c r="M331" t="s">
        <v>4282</v>
      </c>
      <c r="N331">
        <v>1132.6400000000001</v>
      </c>
      <c r="P331">
        <f>Table1_2[[#This Row],[Quantity]]*Table1_2[[#This Row],[UnitPrice]]</f>
        <v>1132.6400000000001</v>
      </c>
      <c r="Q331" t="s">
        <v>1543</v>
      </c>
      <c r="R331" t="str">
        <f t="shared" si="5"/>
        <v>Normal</v>
      </c>
    </row>
    <row r="332" spans="1:18" x14ac:dyDescent="0.3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  <c r="P332">
        <f>Table1_2[[#This Row],[Quantity]]*Table1_2[[#This Row],[UnitPrice]]</f>
        <v>1302.6499999999999</v>
      </c>
      <c r="Q332" t="s">
        <v>1544</v>
      </c>
      <c r="R332" t="str">
        <f t="shared" si="5"/>
        <v>Normal</v>
      </c>
    </row>
    <row r="333" spans="1:18" x14ac:dyDescent="0.3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  <c r="P333">
        <f>Table1_2[[#This Row],[Quantity]]*Table1_2[[#This Row],[UnitPrice]]</f>
        <v>1266.3899999999999</v>
      </c>
      <c r="Q333" t="s">
        <v>1545</v>
      </c>
      <c r="R333" t="str">
        <f t="shared" si="5"/>
        <v>Normal</v>
      </c>
    </row>
    <row r="334" spans="1:18" x14ac:dyDescent="0.3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  <c r="P334">
        <f>Table1_2[[#This Row],[Quantity]]*Table1_2[[#This Row],[UnitPrice]]</f>
        <v>625.1</v>
      </c>
      <c r="Q334" t="s">
        <v>1546</v>
      </c>
      <c r="R334" t="str">
        <f t="shared" si="5"/>
        <v>Normal</v>
      </c>
    </row>
    <row r="335" spans="1:18" x14ac:dyDescent="0.3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  <c r="P335">
        <f>Table1_2[[#This Row],[Quantity]]*Table1_2[[#This Row],[UnitPrice]]</f>
        <v>198.51</v>
      </c>
      <c r="Q335" t="s">
        <v>1547</v>
      </c>
      <c r="R335" t="str">
        <f t="shared" si="5"/>
        <v>Normal</v>
      </c>
    </row>
    <row r="336" spans="1:18" x14ac:dyDescent="0.3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  <c r="P336">
        <f>Table1_2[[#This Row],[Quantity]]*Table1_2[[#This Row],[UnitPrice]]</f>
        <v>899</v>
      </c>
      <c r="Q336" t="s">
        <v>1548</v>
      </c>
      <c r="R336" t="str">
        <f t="shared" si="5"/>
        <v>Normal</v>
      </c>
    </row>
    <row r="337" spans="1:18" x14ac:dyDescent="0.3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4303</v>
      </c>
      <c r="M337" t="s">
        <v>4280</v>
      </c>
      <c r="N337">
        <v>617.58000000000004</v>
      </c>
      <c r="P337">
        <f>Table1_2[[#This Row],[Quantity]]*Table1_2[[#This Row],[UnitPrice]]</f>
        <v>617.58000000000004</v>
      </c>
      <c r="Q337" t="s">
        <v>1549</v>
      </c>
      <c r="R337" t="str">
        <f t="shared" si="5"/>
        <v>Normal</v>
      </c>
    </row>
    <row r="338" spans="1:18" x14ac:dyDescent="0.3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  <c r="P338">
        <f>Table1_2[[#This Row],[Quantity]]*Table1_2[[#This Row],[UnitPrice]]</f>
        <v>18.2</v>
      </c>
      <c r="Q338" t="s">
        <v>1550</v>
      </c>
      <c r="R338" t="str">
        <f t="shared" si="5"/>
        <v>Normal</v>
      </c>
    </row>
    <row r="339" spans="1:18" x14ac:dyDescent="0.3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  <c r="P339">
        <f>Table1_2[[#This Row],[Quantity]]*Table1_2[[#This Row],[UnitPrice]]</f>
        <v>1508.31</v>
      </c>
      <c r="Q339" t="s">
        <v>1551</v>
      </c>
      <c r="R339" t="str">
        <f t="shared" si="5"/>
        <v>Normal</v>
      </c>
    </row>
    <row r="340" spans="1:18" x14ac:dyDescent="0.3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4303</v>
      </c>
      <c r="M340" t="s">
        <v>4279</v>
      </c>
      <c r="N340">
        <v>1527.45</v>
      </c>
      <c r="P340">
        <f>Table1_2[[#This Row],[Quantity]]*Table1_2[[#This Row],[UnitPrice]]</f>
        <v>1527.45</v>
      </c>
      <c r="Q340" t="s">
        <v>1552</v>
      </c>
      <c r="R340" t="str">
        <f t="shared" si="5"/>
        <v>Normal</v>
      </c>
    </row>
    <row r="341" spans="1:18" x14ac:dyDescent="0.3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  <c r="P341">
        <f>Table1_2[[#This Row],[Quantity]]*Table1_2[[#This Row],[UnitPrice]]</f>
        <v>472.66</v>
      </c>
      <c r="Q341" t="s">
        <v>1553</v>
      </c>
      <c r="R341" t="str">
        <f t="shared" si="5"/>
        <v>Normal</v>
      </c>
    </row>
    <row r="342" spans="1:18" x14ac:dyDescent="0.3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4303</v>
      </c>
      <c r="M342" t="s">
        <v>4280</v>
      </c>
      <c r="N342">
        <v>2606.25</v>
      </c>
      <c r="P342">
        <f>Table1_2[[#This Row],[Quantity]]*Table1_2[[#This Row],[UnitPrice]]</f>
        <v>2606.25</v>
      </c>
      <c r="Q342" t="s">
        <v>1554</v>
      </c>
      <c r="R342" t="str">
        <f t="shared" si="5"/>
        <v>Outlier</v>
      </c>
    </row>
    <row r="343" spans="1:18" x14ac:dyDescent="0.3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  <c r="P343">
        <f>Table1_2[[#This Row],[Quantity]]*Table1_2[[#This Row],[UnitPrice]]</f>
        <v>167.15</v>
      </c>
      <c r="Q343" t="s">
        <v>1555</v>
      </c>
      <c r="R343" t="str">
        <f t="shared" si="5"/>
        <v>Normal</v>
      </c>
    </row>
    <row r="344" spans="1:18" x14ac:dyDescent="0.3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4303</v>
      </c>
      <c r="M344" t="s">
        <v>4279</v>
      </c>
      <c r="N344">
        <v>2332.1</v>
      </c>
      <c r="P344">
        <f>Table1_2[[#This Row],[Quantity]]*Table1_2[[#This Row],[UnitPrice]]</f>
        <v>2332.1</v>
      </c>
      <c r="Q344" t="s">
        <v>1556</v>
      </c>
      <c r="R344" t="str">
        <f t="shared" si="5"/>
        <v>Outlier</v>
      </c>
    </row>
    <row r="345" spans="1:18" x14ac:dyDescent="0.3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  <c r="P345">
        <f>Table1_2[[#This Row],[Quantity]]*Table1_2[[#This Row],[UnitPrice]]</f>
        <v>527.57000000000005</v>
      </c>
      <c r="Q345" t="s">
        <v>1557</v>
      </c>
      <c r="R345" t="str">
        <f t="shared" si="5"/>
        <v>Normal</v>
      </c>
    </row>
    <row r="346" spans="1:18" x14ac:dyDescent="0.3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  <c r="P346">
        <f>Table1_2[[#This Row],[Quantity]]*Table1_2[[#This Row],[UnitPrice]]</f>
        <v>1870.02</v>
      </c>
      <c r="Q346" t="s">
        <v>1558</v>
      </c>
      <c r="R346" t="str">
        <f t="shared" si="5"/>
        <v>Normal</v>
      </c>
    </row>
    <row r="347" spans="1:18" x14ac:dyDescent="0.3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  <c r="P347">
        <f>Table1_2[[#This Row],[Quantity]]*Table1_2[[#This Row],[UnitPrice]]</f>
        <v>2506.3000000000002</v>
      </c>
      <c r="Q347" t="s">
        <v>1559</v>
      </c>
      <c r="R347" t="str">
        <f t="shared" si="5"/>
        <v>Outlier</v>
      </c>
    </row>
    <row r="348" spans="1:18" x14ac:dyDescent="0.3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4303</v>
      </c>
      <c r="M348" t="s">
        <v>4279</v>
      </c>
      <c r="N348">
        <v>655.09</v>
      </c>
      <c r="P348">
        <f>Table1_2[[#This Row],[Quantity]]*Table1_2[[#This Row],[UnitPrice]]</f>
        <v>655.09</v>
      </c>
      <c r="Q348" t="s">
        <v>1560</v>
      </c>
      <c r="R348" t="str">
        <f t="shared" si="5"/>
        <v>Normal</v>
      </c>
    </row>
    <row r="349" spans="1:18" x14ac:dyDescent="0.3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  <c r="P349">
        <f>Table1_2[[#This Row],[Quantity]]*Table1_2[[#This Row],[UnitPrice]]</f>
        <v>1059.1600000000001</v>
      </c>
      <c r="Q349" t="s">
        <v>1561</v>
      </c>
      <c r="R349" t="str">
        <f t="shared" si="5"/>
        <v>Normal</v>
      </c>
    </row>
    <row r="350" spans="1:18" x14ac:dyDescent="0.3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  <c r="P350">
        <f>Table1_2[[#This Row],[Quantity]]*Table1_2[[#This Row],[UnitPrice]]</f>
        <v>1079.19</v>
      </c>
      <c r="Q350" t="s">
        <v>1562</v>
      </c>
      <c r="R350" t="str">
        <f t="shared" si="5"/>
        <v>Normal</v>
      </c>
    </row>
    <row r="351" spans="1:18" x14ac:dyDescent="0.3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  <c r="P351">
        <f>Table1_2[[#This Row],[Quantity]]*Table1_2[[#This Row],[UnitPrice]]</f>
        <v>465.33</v>
      </c>
      <c r="Q351" t="s">
        <v>1563</v>
      </c>
      <c r="R351" t="str">
        <f t="shared" si="5"/>
        <v>Normal</v>
      </c>
    </row>
    <row r="352" spans="1:18" x14ac:dyDescent="0.3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4303</v>
      </c>
      <c r="M352" t="s">
        <v>4278</v>
      </c>
      <c r="N352">
        <v>108.82</v>
      </c>
      <c r="P352">
        <f>Table1_2[[#This Row],[Quantity]]*Table1_2[[#This Row],[UnitPrice]]</f>
        <v>108.82</v>
      </c>
      <c r="Q352" t="s">
        <v>1564</v>
      </c>
      <c r="R352" t="str">
        <f t="shared" si="5"/>
        <v>Normal</v>
      </c>
    </row>
    <row r="353" spans="1:18" x14ac:dyDescent="0.3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4303</v>
      </c>
      <c r="M353" t="s">
        <v>4278</v>
      </c>
      <c r="N353">
        <v>64.66</v>
      </c>
      <c r="P353">
        <f>Table1_2[[#This Row],[Quantity]]*Table1_2[[#This Row],[UnitPrice]]</f>
        <v>64.66</v>
      </c>
      <c r="Q353" t="s">
        <v>1565</v>
      </c>
      <c r="R353" t="str">
        <f t="shared" si="5"/>
        <v>Normal</v>
      </c>
    </row>
    <row r="354" spans="1:18" x14ac:dyDescent="0.3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  <c r="P354">
        <f>Table1_2[[#This Row],[Quantity]]*Table1_2[[#This Row],[UnitPrice]]</f>
        <v>869.80000000000007</v>
      </c>
      <c r="Q354" t="s">
        <v>1566</v>
      </c>
      <c r="R354" t="str">
        <f t="shared" si="5"/>
        <v>Normal</v>
      </c>
    </row>
    <row r="355" spans="1:18" x14ac:dyDescent="0.3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  <c r="P355">
        <f>Table1_2[[#This Row],[Quantity]]*Table1_2[[#This Row],[UnitPrice]]</f>
        <v>630.82000000000005</v>
      </c>
      <c r="Q355" t="s">
        <v>1567</v>
      </c>
      <c r="R355" t="str">
        <f t="shared" si="5"/>
        <v>Normal</v>
      </c>
    </row>
    <row r="356" spans="1:18" x14ac:dyDescent="0.3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4303</v>
      </c>
      <c r="M356" t="s">
        <v>4278</v>
      </c>
      <c r="N356">
        <v>693.41</v>
      </c>
      <c r="P356">
        <f>Table1_2[[#This Row],[Quantity]]*Table1_2[[#This Row],[UnitPrice]]</f>
        <v>693.41</v>
      </c>
      <c r="Q356" t="s">
        <v>1568</v>
      </c>
      <c r="R356" t="str">
        <f t="shared" si="5"/>
        <v>Normal</v>
      </c>
    </row>
    <row r="357" spans="1:18" x14ac:dyDescent="0.3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  <c r="P357">
        <f>Table1_2[[#This Row],[Quantity]]*Table1_2[[#This Row],[UnitPrice]]</f>
        <v>1299.99</v>
      </c>
      <c r="Q357" t="s">
        <v>1569</v>
      </c>
      <c r="R357" t="str">
        <f t="shared" si="5"/>
        <v>Normal</v>
      </c>
    </row>
    <row r="358" spans="1:18" x14ac:dyDescent="0.3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  <c r="P358">
        <f>Table1_2[[#This Row],[Quantity]]*Table1_2[[#This Row],[UnitPrice]]</f>
        <v>1872.8999999999999</v>
      </c>
      <c r="Q358" t="s">
        <v>1570</v>
      </c>
      <c r="R358" t="str">
        <f t="shared" si="5"/>
        <v>Normal</v>
      </c>
    </row>
    <row r="359" spans="1:18" x14ac:dyDescent="0.3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  <c r="P359">
        <f>Table1_2[[#This Row],[Quantity]]*Table1_2[[#This Row],[UnitPrice]]</f>
        <v>2042.8</v>
      </c>
      <c r="Q359" t="s">
        <v>1571</v>
      </c>
      <c r="R359" t="str">
        <f t="shared" si="5"/>
        <v>Normal</v>
      </c>
    </row>
    <row r="360" spans="1:18" x14ac:dyDescent="0.3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  <c r="P360">
        <f>Table1_2[[#This Row],[Quantity]]*Table1_2[[#This Row],[UnitPrice]]</f>
        <v>367.34</v>
      </c>
      <c r="Q360" t="s">
        <v>1572</v>
      </c>
      <c r="R360" t="str">
        <f t="shared" si="5"/>
        <v>Normal</v>
      </c>
    </row>
    <row r="361" spans="1:18" x14ac:dyDescent="0.3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  <c r="P361">
        <f>Table1_2[[#This Row],[Quantity]]*Table1_2[[#This Row],[UnitPrice]]</f>
        <v>2426.2800000000002</v>
      </c>
      <c r="Q361" t="s">
        <v>1573</v>
      </c>
      <c r="R361" t="str">
        <f t="shared" si="5"/>
        <v>Outlier</v>
      </c>
    </row>
    <row r="362" spans="1:18" x14ac:dyDescent="0.3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4303</v>
      </c>
      <c r="M362" t="s">
        <v>4278</v>
      </c>
      <c r="N362">
        <v>2358.2800000000002</v>
      </c>
      <c r="P362">
        <f>Table1_2[[#This Row],[Quantity]]*Table1_2[[#This Row],[UnitPrice]]</f>
        <v>2358.2800000000002</v>
      </c>
      <c r="Q362" t="s">
        <v>1574</v>
      </c>
      <c r="R362" t="str">
        <f t="shared" si="5"/>
        <v>Outlier</v>
      </c>
    </row>
    <row r="363" spans="1:18" x14ac:dyDescent="0.3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  <c r="P363">
        <f>Table1_2[[#This Row],[Quantity]]*Table1_2[[#This Row],[UnitPrice]]</f>
        <v>3299.25</v>
      </c>
      <c r="Q363" t="s">
        <v>1575</v>
      </c>
      <c r="R363" t="str">
        <f t="shared" si="5"/>
        <v>Outlier</v>
      </c>
    </row>
    <row r="364" spans="1:18" x14ac:dyDescent="0.3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  <c r="P364">
        <f>Table1_2[[#This Row],[Quantity]]*Table1_2[[#This Row],[UnitPrice]]</f>
        <v>827.36</v>
      </c>
      <c r="Q364" t="s">
        <v>1576</v>
      </c>
      <c r="R364" t="str">
        <f t="shared" si="5"/>
        <v>Normal</v>
      </c>
    </row>
    <row r="365" spans="1:18" x14ac:dyDescent="0.3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  <c r="P365">
        <f>Table1_2[[#This Row],[Quantity]]*Table1_2[[#This Row],[UnitPrice]]</f>
        <v>569.35</v>
      </c>
      <c r="Q365" t="s">
        <v>1577</v>
      </c>
      <c r="R365" t="str">
        <f t="shared" si="5"/>
        <v>Normal</v>
      </c>
    </row>
    <row r="366" spans="1:18" x14ac:dyDescent="0.3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  <c r="P366">
        <f>Table1_2[[#This Row],[Quantity]]*Table1_2[[#This Row],[UnitPrice]]</f>
        <v>3143.7</v>
      </c>
      <c r="Q366" t="s">
        <v>1578</v>
      </c>
      <c r="R366" t="str">
        <f t="shared" si="5"/>
        <v>Outlier</v>
      </c>
    </row>
    <row r="367" spans="1:18" x14ac:dyDescent="0.3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  <c r="P367">
        <f>Table1_2[[#This Row],[Quantity]]*Table1_2[[#This Row],[UnitPrice]]</f>
        <v>678.38</v>
      </c>
      <c r="Q367" t="s">
        <v>1579</v>
      </c>
      <c r="R367" t="str">
        <f t="shared" si="5"/>
        <v>Normal</v>
      </c>
    </row>
    <row r="368" spans="1:18" x14ac:dyDescent="0.3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4303</v>
      </c>
      <c r="M368" t="s">
        <v>4279</v>
      </c>
      <c r="N368">
        <v>1806.72</v>
      </c>
      <c r="P368">
        <f>Table1_2[[#This Row],[Quantity]]*Table1_2[[#This Row],[UnitPrice]]</f>
        <v>1806.72</v>
      </c>
      <c r="Q368" t="s">
        <v>1580</v>
      </c>
      <c r="R368" t="str">
        <f t="shared" si="5"/>
        <v>Normal</v>
      </c>
    </row>
    <row r="369" spans="1:18" x14ac:dyDescent="0.3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  <c r="P369">
        <f>Table1_2[[#This Row],[Quantity]]*Table1_2[[#This Row],[UnitPrice]]</f>
        <v>3293.85</v>
      </c>
      <c r="Q369" t="s">
        <v>1581</v>
      </c>
      <c r="R369" t="str">
        <f t="shared" si="5"/>
        <v>Outlier</v>
      </c>
    </row>
    <row r="370" spans="1:18" x14ac:dyDescent="0.3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4303</v>
      </c>
      <c r="M370" t="s">
        <v>4282</v>
      </c>
      <c r="N370">
        <v>813.06</v>
      </c>
      <c r="P370">
        <f>Table1_2[[#This Row],[Quantity]]*Table1_2[[#This Row],[UnitPrice]]</f>
        <v>813.06</v>
      </c>
      <c r="Q370" t="s">
        <v>1582</v>
      </c>
      <c r="R370" t="str">
        <f t="shared" si="5"/>
        <v>Normal</v>
      </c>
    </row>
    <row r="371" spans="1:18" x14ac:dyDescent="0.3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  <c r="P371">
        <f>Table1_2[[#This Row],[Quantity]]*Table1_2[[#This Row],[UnitPrice]]</f>
        <v>1876.25</v>
      </c>
      <c r="Q371" t="s">
        <v>1583</v>
      </c>
      <c r="R371" t="str">
        <f t="shared" si="5"/>
        <v>Normal</v>
      </c>
    </row>
    <row r="372" spans="1:18" x14ac:dyDescent="0.3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  <c r="P372">
        <f>Table1_2[[#This Row],[Quantity]]*Table1_2[[#This Row],[UnitPrice]]</f>
        <v>312.11</v>
      </c>
      <c r="Q372" t="s">
        <v>1584</v>
      </c>
      <c r="R372" t="str">
        <f t="shared" si="5"/>
        <v>Normal</v>
      </c>
    </row>
    <row r="373" spans="1:18" x14ac:dyDescent="0.3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  <c r="P373">
        <f>Table1_2[[#This Row],[Quantity]]*Table1_2[[#This Row],[UnitPrice]]</f>
        <v>1538.8</v>
      </c>
      <c r="Q373" t="s">
        <v>1585</v>
      </c>
      <c r="R373" t="str">
        <f t="shared" si="5"/>
        <v>Normal</v>
      </c>
    </row>
    <row r="374" spans="1:18" x14ac:dyDescent="0.3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4303</v>
      </c>
      <c r="M374" t="s">
        <v>4279</v>
      </c>
      <c r="N374">
        <v>1450.59</v>
      </c>
      <c r="P374">
        <f>Table1_2[[#This Row],[Quantity]]*Table1_2[[#This Row],[UnitPrice]]</f>
        <v>1450.59</v>
      </c>
      <c r="Q374" t="s">
        <v>1586</v>
      </c>
      <c r="R374" t="str">
        <f t="shared" si="5"/>
        <v>Normal</v>
      </c>
    </row>
    <row r="375" spans="1:18" x14ac:dyDescent="0.3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  <c r="P375">
        <f>Table1_2[[#This Row],[Quantity]]*Table1_2[[#This Row],[UnitPrice]]</f>
        <v>1023.4499999999999</v>
      </c>
      <c r="Q375" t="s">
        <v>1587</v>
      </c>
      <c r="R375" t="str">
        <f t="shared" si="5"/>
        <v>Normal</v>
      </c>
    </row>
    <row r="376" spans="1:18" x14ac:dyDescent="0.3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  <c r="P376">
        <f>Table1_2[[#This Row],[Quantity]]*Table1_2[[#This Row],[UnitPrice]]</f>
        <v>571.9</v>
      </c>
      <c r="Q376" t="s">
        <v>1588</v>
      </c>
      <c r="R376" t="str">
        <f t="shared" si="5"/>
        <v>Normal</v>
      </c>
    </row>
    <row r="377" spans="1:18" x14ac:dyDescent="0.3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  <c r="P377">
        <f>Table1_2[[#This Row],[Quantity]]*Table1_2[[#This Row],[UnitPrice]]</f>
        <v>380.12</v>
      </c>
      <c r="Q377" t="s">
        <v>1589</v>
      </c>
      <c r="R377" t="str">
        <f t="shared" si="5"/>
        <v>Normal</v>
      </c>
    </row>
    <row r="378" spans="1:18" x14ac:dyDescent="0.3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  <c r="P378">
        <f>Table1_2[[#This Row],[Quantity]]*Table1_2[[#This Row],[UnitPrice]]</f>
        <v>1006.1</v>
      </c>
      <c r="Q378" t="s">
        <v>1590</v>
      </c>
      <c r="R378" t="str">
        <f t="shared" si="5"/>
        <v>Normal</v>
      </c>
    </row>
    <row r="379" spans="1:18" x14ac:dyDescent="0.3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  <c r="P379">
        <f>Table1_2[[#This Row],[Quantity]]*Table1_2[[#This Row],[UnitPrice]]</f>
        <v>260.26</v>
      </c>
      <c r="Q379" t="s">
        <v>1591</v>
      </c>
      <c r="R379" t="str">
        <f t="shared" si="5"/>
        <v>Normal</v>
      </c>
    </row>
    <row r="380" spans="1:18" x14ac:dyDescent="0.3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  <c r="P380">
        <f>Table1_2[[#This Row],[Quantity]]*Table1_2[[#This Row],[UnitPrice]]</f>
        <v>322.5</v>
      </c>
      <c r="Q380" t="s">
        <v>1592</v>
      </c>
      <c r="R380" t="str">
        <f t="shared" si="5"/>
        <v>Normal</v>
      </c>
    </row>
    <row r="381" spans="1:18" x14ac:dyDescent="0.3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4303</v>
      </c>
      <c r="M381" t="s">
        <v>4282</v>
      </c>
      <c r="N381">
        <v>893.01</v>
      </c>
      <c r="P381">
        <f>Table1_2[[#This Row],[Quantity]]*Table1_2[[#This Row],[UnitPrice]]</f>
        <v>893.01</v>
      </c>
      <c r="Q381" t="s">
        <v>1593</v>
      </c>
      <c r="R381" t="str">
        <f t="shared" si="5"/>
        <v>Normal</v>
      </c>
    </row>
    <row r="382" spans="1:18" x14ac:dyDescent="0.3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  <c r="P382">
        <f>Table1_2[[#This Row],[Quantity]]*Table1_2[[#This Row],[UnitPrice]]</f>
        <v>1327.6</v>
      </c>
      <c r="Q382" t="s">
        <v>1594</v>
      </c>
      <c r="R382" t="str">
        <f t="shared" si="5"/>
        <v>Normal</v>
      </c>
    </row>
    <row r="383" spans="1:18" x14ac:dyDescent="0.3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  <c r="P383">
        <f>Table1_2[[#This Row],[Quantity]]*Table1_2[[#This Row],[UnitPrice]]</f>
        <v>191.76</v>
      </c>
      <c r="Q383" t="s">
        <v>1595</v>
      </c>
      <c r="R383" t="str">
        <f t="shared" si="5"/>
        <v>Normal</v>
      </c>
    </row>
    <row r="384" spans="1:18" x14ac:dyDescent="0.3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  <c r="P384">
        <f>Table1_2[[#This Row],[Quantity]]*Table1_2[[#This Row],[UnitPrice]]</f>
        <v>1052.3599999999999</v>
      </c>
      <c r="Q384" t="s">
        <v>1596</v>
      </c>
      <c r="R384" t="str">
        <f t="shared" si="5"/>
        <v>Normal</v>
      </c>
    </row>
    <row r="385" spans="1:18" x14ac:dyDescent="0.3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  <c r="P385">
        <f>Table1_2[[#This Row],[Quantity]]*Table1_2[[#This Row],[UnitPrice]]</f>
        <v>1575.2</v>
      </c>
      <c r="Q385" t="s">
        <v>1597</v>
      </c>
      <c r="R385" t="str">
        <f t="shared" si="5"/>
        <v>Normal</v>
      </c>
    </row>
    <row r="386" spans="1:18" x14ac:dyDescent="0.3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  <c r="P386">
        <f>Table1_2[[#This Row],[Quantity]]*Table1_2[[#This Row],[UnitPrice]]</f>
        <v>1660.71</v>
      </c>
      <c r="Q386" t="s">
        <v>1598</v>
      </c>
      <c r="R386" t="str">
        <f t="shared" si="5"/>
        <v>Normal</v>
      </c>
    </row>
    <row r="387" spans="1:18" x14ac:dyDescent="0.3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  <c r="P387">
        <f>Table1_2[[#This Row],[Quantity]]*Table1_2[[#This Row],[UnitPrice]]</f>
        <v>958.15</v>
      </c>
      <c r="Q387" t="s">
        <v>1599</v>
      </c>
      <c r="R387" t="str">
        <f t="shared" ref="R387:R450" si="6">IF(OR(N387&lt;$S$2-1.5*($T$2-$S$2),N387&gt;$S$2+1.5*($T$2-$S$2)), "Outlier", "Normal")</f>
        <v>Normal</v>
      </c>
    </row>
    <row r="388" spans="1:18" x14ac:dyDescent="0.3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4303</v>
      </c>
      <c r="M388" t="s">
        <v>4280</v>
      </c>
      <c r="N388">
        <v>93.02</v>
      </c>
      <c r="P388">
        <f>Table1_2[[#This Row],[Quantity]]*Table1_2[[#This Row],[UnitPrice]]</f>
        <v>93.02</v>
      </c>
      <c r="Q388" t="s">
        <v>1600</v>
      </c>
      <c r="R388" t="str">
        <f t="shared" si="6"/>
        <v>Normal</v>
      </c>
    </row>
    <row r="389" spans="1:18" x14ac:dyDescent="0.3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  <c r="P389">
        <f>Table1_2[[#This Row],[Quantity]]*Table1_2[[#This Row],[UnitPrice]]</f>
        <v>79.06</v>
      </c>
      <c r="Q389" t="s">
        <v>1601</v>
      </c>
      <c r="R389" t="str">
        <f t="shared" si="6"/>
        <v>Normal</v>
      </c>
    </row>
    <row r="390" spans="1:18" x14ac:dyDescent="0.3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  <c r="P390">
        <f>Table1_2[[#This Row],[Quantity]]*Table1_2[[#This Row],[UnitPrice]]</f>
        <v>1901.91</v>
      </c>
      <c r="Q390" t="s">
        <v>1602</v>
      </c>
      <c r="R390" t="str">
        <f t="shared" si="6"/>
        <v>Normal</v>
      </c>
    </row>
    <row r="391" spans="1:18" x14ac:dyDescent="0.3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  <c r="P391">
        <f>Table1_2[[#This Row],[Quantity]]*Table1_2[[#This Row],[UnitPrice]]</f>
        <v>2790</v>
      </c>
      <c r="Q391" t="s">
        <v>1603</v>
      </c>
      <c r="R391" t="str">
        <f t="shared" si="6"/>
        <v>Outlier</v>
      </c>
    </row>
    <row r="392" spans="1:18" x14ac:dyDescent="0.3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  <c r="P392">
        <f>Table1_2[[#This Row],[Quantity]]*Table1_2[[#This Row],[UnitPrice]]</f>
        <v>2543.4499999999998</v>
      </c>
      <c r="Q392" t="s">
        <v>1604</v>
      </c>
      <c r="R392" t="str">
        <f t="shared" si="6"/>
        <v>Outlier</v>
      </c>
    </row>
    <row r="393" spans="1:18" x14ac:dyDescent="0.3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  <c r="P393">
        <f>Table1_2[[#This Row],[Quantity]]*Table1_2[[#This Row],[UnitPrice]]</f>
        <v>1054.92</v>
      </c>
      <c r="Q393" t="s">
        <v>1605</v>
      </c>
      <c r="R393" t="str">
        <f t="shared" si="6"/>
        <v>Normal</v>
      </c>
    </row>
    <row r="394" spans="1:18" x14ac:dyDescent="0.3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  <c r="P394">
        <f>Table1_2[[#This Row],[Quantity]]*Table1_2[[#This Row],[UnitPrice]]</f>
        <v>627.20000000000005</v>
      </c>
      <c r="Q394" t="s">
        <v>1606</v>
      </c>
      <c r="R394" t="str">
        <f t="shared" si="6"/>
        <v>Normal</v>
      </c>
    </row>
    <row r="395" spans="1:18" x14ac:dyDescent="0.3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4303</v>
      </c>
      <c r="M395" t="s">
        <v>4282</v>
      </c>
      <c r="N395">
        <v>75.010000000000005</v>
      </c>
      <c r="P395">
        <f>Table1_2[[#This Row],[Quantity]]*Table1_2[[#This Row],[UnitPrice]]</f>
        <v>75.010000000000005</v>
      </c>
      <c r="Q395" t="s">
        <v>1607</v>
      </c>
      <c r="R395" t="str">
        <f t="shared" si="6"/>
        <v>Normal</v>
      </c>
    </row>
    <row r="396" spans="1:18" x14ac:dyDescent="0.3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4303</v>
      </c>
      <c r="M396" t="s">
        <v>4281</v>
      </c>
      <c r="N396">
        <v>2647.75</v>
      </c>
      <c r="P396">
        <f>Table1_2[[#This Row],[Quantity]]*Table1_2[[#This Row],[UnitPrice]]</f>
        <v>2647.75</v>
      </c>
      <c r="Q396" t="s">
        <v>1608</v>
      </c>
      <c r="R396" t="str">
        <f t="shared" si="6"/>
        <v>Outlier</v>
      </c>
    </row>
    <row r="397" spans="1:18" x14ac:dyDescent="0.3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  <c r="P397">
        <f>Table1_2[[#This Row],[Quantity]]*Table1_2[[#This Row],[UnitPrice]]</f>
        <v>382.23</v>
      </c>
      <c r="Q397" t="s">
        <v>1609</v>
      </c>
      <c r="R397" t="str">
        <f t="shared" si="6"/>
        <v>Normal</v>
      </c>
    </row>
    <row r="398" spans="1:18" x14ac:dyDescent="0.3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  <c r="P398">
        <f>Table1_2[[#This Row],[Quantity]]*Table1_2[[#This Row],[UnitPrice]]</f>
        <v>1435.65</v>
      </c>
      <c r="Q398" t="s">
        <v>1610</v>
      </c>
      <c r="R398" t="str">
        <f t="shared" si="6"/>
        <v>Normal</v>
      </c>
    </row>
    <row r="399" spans="1:18" x14ac:dyDescent="0.3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  <c r="P399">
        <f>Table1_2[[#This Row],[Quantity]]*Table1_2[[#This Row],[UnitPrice]]</f>
        <v>427.06</v>
      </c>
      <c r="Q399" t="s">
        <v>1611</v>
      </c>
      <c r="R399" t="str">
        <f t="shared" si="6"/>
        <v>Normal</v>
      </c>
    </row>
    <row r="400" spans="1:18" x14ac:dyDescent="0.3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  <c r="P400">
        <f>Table1_2[[#This Row],[Quantity]]*Table1_2[[#This Row],[UnitPrice]]</f>
        <v>269.64999999999998</v>
      </c>
      <c r="Q400" t="s">
        <v>1612</v>
      </c>
      <c r="R400" t="str">
        <f t="shared" si="6"/>
        <v>Normal</v>
      </c>
    </row>
    <row r="401" spans="1:18" x14ac:dyDescent="0.3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  <c r="P401">
        <f>Table1_2[[#This Row],[Quantity]]*Table1_2[[#This Row],[UnitPrice]]</f>
        <v>2119.65</v>
      </c>
      <c r="Q401" t="s">
        <v>1613</v>
      </c>
      <c r="R401" t="str">
        <f t="shared" si="6"/>
        <v>Normal</v>
      </c>
    </row>
    <row r="402" spans="1:18" x14ac:dyDescent="0.3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  <c r="P402">
        <f>Table1_2[[#This Row],[Quantity]]*Table1_2[[#This Row],[UnitPrice]]</f>
        <v>640.88</v>
      </c>
      <c r="Q402" t="s">
        <v>1614</v>
      </c>
      <c r="R402" t="str">
        <f t="shared" si="6"/>
        <v>Normal</v>
      </c>
    </row>
    <row r="403" spans="1:18" x14ac:dyDescent="0.3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4303</v>
      </c>
      <c r="M403" t="s">
        <v>4279</v>
      </c>
      <c r="N403">
        <v>538.67999999999995</v>
      </c>
      <c r="P403">
        <f>Table1_2[[#This Row],[Quantity]]*Table1_2[[#This Row],[UnitPrice]]</f>
        <v>538.67999999999995</v>
      </c>
      <c r="Q403" t="s">
        <v>1615</v>
      </c>
      <c r="R403" t="str">
        <f t="shared" si="6"/>
        <v>Normal</v>
      </c>
    </row>
    <row r="404" spans="1:18" x14ac:dyDescent="0.3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4303</v>
      </c>
      <c r="M404" t="s">
        <v>4279</v>
      </c>
      <c r="N404">
        <v>1686.9</v>
      </c>
      <c r="P404">
        <f>Table1_2[[#This Row],[Quantity]]*Table1_2[[#This Row],[UnitPrice]]</f>
        <v>1686.9</v>
      </c>
      <c r="Q404" t="s">
        <v>1616</v>
      </c>
      <c r="R404" t="str">
        <f t="shared" si="6"/>
        <v>Normal</v>
      </c>
    </row>
    <row r="405" spans="1:18" x14ac:dyDescent="0.3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  <c r="P405">
        <f>Table1_2[[#This Row],[Quantity]]*Table1_2[[#This Row],[UnitPrice]]</f>
        <v>620.21</v>
      </c>
      <c r="Q405" t="s">
        <v>1617</v>
      </c>
      <c r="R405" t="str">
        <f t="shared" si="6"/>
        <v>Normal</v>
      </c>
    </row>
    <row r="406" spans="1:18" x14ac:dyDescent="0.3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4303</v>
      </c>
      <c r="M406" t="s">
        <v>4278</v>
      </c>
      <c r="N406">
        <v>198.2</v>
      </c>
      <c r="P406">
        <f>Table1_2[[#This Row],[Quantity]]*Table1_2[[#This Row],[UnitPrice]]</f>
        <v>198.2</v>
      </c>
      <c r="Q406" t="s">
        <v>1618</v>
      </c>
      <c r="R406" t="str">
        <f t="shared" si="6"/>
        <v>Normal</v>
      </c>
    </row>
    <row r="407" spans="1:18" x14ac:dyDescent="0.3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  <c r="P407">
        <f>Table1_2[[#This Row],[Quantity]]*Table1_2[[#This Row],[UnitPrice]]</f>
        <v>1807.88</v>
      </c>
      <c r="Q407" t="s">
        <v>1619</v>
      </c>
      <c r="R407" t="str">
        <f t="shared" si="6"/>
        <v>Normal</v>
      </c>
    </row>
    <row r="408" spans="1:18" x14ac:dyDescent="0.3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  <c r="P408">
        <f>Table1_2[[#This Row],[Quantity]]*Table1_2[[#This Row],[UnitPrice]]</f>
        <v>264.39999999999998</v>
      </c>
      <c r="Q408" t="s">
        <v>1620</v>
      </c>
      <c r="R408" t="str">
        <f t="shared" si="6"/>
        <v>Normal</v>
      </c>
    </row>
    <row r="409" spans="1:18" x14ac:dyDescent="0.3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  <c r="P409">
        <f>Table1_2[[#This Row],[Quantity]]*Table1_2[[#This Row],[UnitPrice]]</f>
        <v>2189.2800000000002</v>
      </c>
      <c r="Q409" t="s">
        <v>1621</v>
      </c>
      <c r="R409" t="str">
        <f t="shared" si="6"/>
        <v>Outlier</v>
      </c>
    </row>
    <row r="410" spans="1:18" x14ac:dyDescent="0.3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  <c r="P410">
        <f>Table1_2[[#This Row],[Quantity]]*Table1_2[[#This Row],[UnitPrice]]</f>
        <v>1237.5899999999999</v>
      </c>
      <c r="Q410" t="s">
        <v>1622</v>
      </c>
      <c r="R410" t="str">
        <f t="shared" si="6"/>
        <v>Normal</v>
      </c>
    </row>
    <row r="411" spans="1:18" x14ac:dyDescent="0.3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  <c r="P411">
        <f>Table1_2[[#This Row],[Quantity]]*Table1_2[[#This Row],[UnitPrice]]</f>
        <v>420.65</v>
      </c>
      <c r="Q411" t="s">
        <v>1623</v>
      </c>
      <c r="R411" t="str">
        <f t="shared" si="6"/>
        <v>Normal</v>
      </c>
    </row>
    <row r="412" spans="1:18" x14ac:dyDescent="0.3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4303</v>
      </c>
      <c r="M412" t="s">
        <v>4280</v>
      </c>
      <c r="N412">
        <v>1036.46</v>
      </c>
      <c r="P412">
        <f>Table1_2[[#This Row],[Quantity]]*Table1_2[[#This Row],[UnitPrice]]</f>
        <v>1036.46</v>
      </c>
      <c r="Q412" t="s">
        <v>1624</v>
      </c>
      <c r="R412" t="str">
        <f t="shared" si="6"/>
        <v>Normal</v>
      </c>
    </row>
    <row r="413" spans="1:18" x14ac:dyDescent="0.3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4303</v>
      </c>
      <c r="M413" t="s">
        <v>4281</v>
      </c>
      <c r="N413">
        <v>79.02</v>
      </c>
      <c r="P413">
        <f>Table1_2[[#This Row],[Quantity]]*Table1_2[[#This Row],[UnitPrice]]</f>
        <v>79.02</v>
      </c>
      <c r="Q413" t="s">
        <v>1625</v>
      </c>
      <c r="R413" t="str">
        <f t="shared" si="6"/>
        <v>Normal</v>
      </c>
    </row>
    <row r="414" spans="1:18" x14ac:dyDescent="0.3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4303</v>
      </c>
      <c r="M414" t="s">
        <v>4281</v>
      </c>
      <c r="N414">
        <v>665.05</v>
      </c>
      <c r="P414">
        <f>Table1_2[[#This Row],[Quantity]]*Table1_2[[#This Row],[UnitPrice]]</f>
        <v>665.05</v>
      </c>
      <c r="Q414" t="s">
        <v>1626</v>
      </c>
      <c r="R414" t="str">
        <f t="shared" si="6"/>
        <v>Normal</v>
      </c>
    </row>
    <row r="415" spans="1:18" x14ac:dyDescent="0.3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  <c r="P415">
        <f>Table1_2[[#This Row],[Quantity]]*Table1_2[[#This Row],[UnitPrice]]</f>
        <v>118.8</v>
      </c>
      <c r="Q415" t="s">
        <v>1627</v>
      </c>
      <c r="R415" t="str">
        <f t="shared" si="6"/>
        <v>Normal</v>
      </c>
    </row>
    <row r="416" spans="1:18" x14ac:dyDescent="0.3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  <c r="P416">
        <f>Table1_2[[#This Row],[Quantity]]*Table1_2[[#This Row],[UnitPrice]]</f>
        <v>279.14</v>
      </c>
      <c r="Q416" t="s">
        <v>1628</v>
      </c>
      <c r="R416" t="str">
        <f t="shared" si="6"/>
        <v>Normal</v>
      </c>
    </row>
    <row r="417" spans="1:18" x14ac:dyDescent="0.3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  <c r="P417">
        <f>Table1_2[[#This Row],[Quantity]]*Table1_2[[#This Row],[UnitPrice]]</f>
        <v>184.15</v>
      </c>
      <c r="Q417" t="s">
        <v>1629</v>
      </c>
      <c r="R417" t="str">
        <f t="shared" si="6"/>
        <v>Normal</v>
      </c>
    </row>
    <row r="418" spans="1:18" x14ac:dyDescent="0.3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  <c r="P418">
        <f>Table1_2[[#This Row],[Quantity]]*Table1_2[[#This Row],[UnitPrice]]</f>
        <v>1288.0999999999999</v>
      </c>
      <c r="Q418" t="s">
        <v>1630</v>
      </c>
      <c r="R418" t="str">
        <f t="shared" si="6"/>
        <v>Normal</v>
      </c>
    </row>
    <row r="419" spans="1:18" x14ac:dyDescent="0.3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4303</v>
      </c>
      <c r="M419" t="s">
        <v>4282</v>
      </c>
      <c r="N419">
        <v>277.05</v>
      </c>
      <c r="P419">
        <f>Table1_2[[#This Row],[Quantity]]*Table1_2[[#This Row],[UnitPrice]]</f>
        <v>277.04999999999995</v>
      </c>
      <c r="Q419" t="s">
        <v>1631</v>
      </c>
      <c r="R419" t="str">
        <f t="shared" si="6"/>
        <v>Normal</v>
      </c>
    </row>
    <row r="420" spans="1:18" x14ac:dyDescent="0.3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4303</v>
      </c>
      <c r="M420" t="s">
        <v>4281</v>
      </c>
      <c r="N420">
        <v>310.93</v>
      </c>
      <c r="P420">
        <f>Table1_2[[#This Row],[Quantity]]*Table1_2[[#This Row],[UnitPrice]]</f>
        <v>310.93</v>
      </c>
      <c r="Q420" t="s">
        <v>1632</v>
      </c>
      <c r="R420" t="str">
        <f t="shared" si="6"/>
        <v>Normal</v>
      </c>
    </row>
    <row r="421" spans="1:18" x14ac:dyDescent="0.3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  <c r="P421">
        <f>Table1_2[[#This Row],[Quantity]]*Table1_2[[#This Row],[UnitPrice]]</f>
        <v>433.32</v>
      </c>
      <c r="Q421" t="s">
        <v>1633</v>
      </c>
      <c r="R421" t="str">
        <f t="shared" si="6"/>
        <v>Normal</v>
      </c>
    </row>
    <row r="422" spans="1:18" x14ac:dyDescent="0.3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  <c r="P422">
        <f>Table1_2[[#This Row],[Quantity]]*Table1_2[[#This Row],[UnitPrice]]</f>
        <v>452.7</v>
      </c>
      <c r="Q422" t="s">
        <v>1634</v>
      </c>
      <c r="R422" t="str">
        <f t="shared" si="6"/>
        <v>Normal</v>
      </c>
    </row>
    <row r="423" spans="1:18" x14ac:dyDescent="0.3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4303</v>
      </c>
      <c r="M423" t="s">
        <v>4280</v>
      </c>
      <c r="N423">
        <v>576.41999999999996</v>
      </c>
      <c r="P423">
        <f>Table1_2[[#This Row],[Quantity]]*Table1_2[[#This Row],[UnitPrice]]</f>
        <v>576.41999999999996</v>
      </c>
      <c r="Q423" t="s">
        <v>1635</v>
      </c>
      <c r="R423" t="str">
        <f t="shared" si="6"/>
        <v>Normal</v>
      </c>
    </row>
    <row r="424" spans="1:18" x14ac:dyDescent="0.3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  <c r="P424">
        <f>Table1_2[[#This Row],[Quantity]]*Table1_2[[#This Row],[UnitPrice]]</f>
        <v>826.4</v>
      </c>
      <c r="Q424" t="s">
        <v>1636</v>
      </c>
      <c r="R424" t="str">
        <f t="shared" si="6"/>
        <v>Normal</v>
      </c>
    </row>
    <row r="425" spans="1:18" x14ac:dyDescent="0.3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  <c r="P425">
        <f>Table1_2[[#This Row],[Quantity]]*Table1_2[[#This Row],[UnitPrice]]</f>
        <v>2740.8</v>
      </c>
      <c r="Q425" t="s">
        <v>1637</v>
      </c>
      <c r="R425" t="str">
        <f t="shared" si="6"/>
        <v>Outlier</v>
      </c>
    </row>
    <row r="426" spans="1:18" x14ac:dyDescent="0.3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4303</v>
      </c>
      <c r="M426" t="s">
        <v>4280</v>
      </c>
      <c r="N426">
        <v>114.7</v>
      </c>
      <c r="P426">
        <f>Table1_2[[#This Row],[Quantity]]*Table1_2[[#This Row],[UnitPrice]]</f>
        <v>114.7</v>
      </c>
      <c r="Q426" t="s">
        <v>1638</v>
      </c>
      <c r="R426" t="str">
        <f t="shared" si="6"/>
        <v>Normal</v>
      </c>
    </row>
    <row r="427" spans="1:18" x14ac:dyDescent="0.3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  <c r="P427">
        <f>Table1_2[[#This Row],[Quantity]]*Table1_2[[#This Row],[UnitPrice]]</f>
        <v>603.76</v>
      </c>
      <c r="Q427" t="s">
        <v>1639</v>
      </c>
      <c r="R427" t="str">
        <f t="shared" si="6"/>
        <v>Normal</v>
      </c>
    </row>
    <row r="428" spans="1:18" x14ac:dyDescent="0.3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4303</v>
      </c>
      <c r="M428" t="s">
        <v>4281</v>
      </c>
      <c r="N428">
        <v>287.25</v>
      </c>
      <c r="P428">
        <f>Table1_2[[#This Row],[Quantity]]*Table1_2[[#This Row],[UnitPrice]]</f>
        <v>287.25</v>
      </c>
      <c r="Q428" t="s">
        <v>1640</v>
      </c>
      <c r="R428" t="str">
        <f t="shared" si="6"/>
        <v>Normal</v>
      </c>
    </row>
    <row r="429" spans="1:18" x14ac:dyDescent="0.3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  <c r="P429">
        <f>Table1_2[[#This Row],[Quantity]]*Table1_2[[#This Row],[UnitPrice]]</f>
        <v>161.24</v>
      </c>
      <c r="Q429" t="s">
        <v>1641</v>
      </c>
      <c r="R429" t="str">
        <f t="shared" si="6"/>
        <v>Normal</v>
      </c>
    </row>
    <row r="430" spans="1:18" x14ac:dyDescent="0.3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  <c r="P430">
        <f>Table1_2[[#This Row],[Quantity]]*Table1_2[[#This Row],[UnitPrice]]</f>
        <v>1050.32</v>
      </c>
      <c r="Q430" t="s">
        <v>1642</v>
      </c>
      <c r="R430" t="str">
        <f t="shared" si="6"/>
        <v>Normal</v>
      </c>
    </row>
    <row r="431" spans="1:18" x14ac:dyDescent="0.3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  <c r="P431">
        <f>Table1_2[[#This Row],[Quantity]]*Table1_2[[#This Row],[UnitPrice]]</f>
        <v>2060.7600000000002</v>
      </c>
      <c r="Q431" t="s">
        <v>1643</v>
      </c>
      <c r="R431" t="str">
        <f t="shared" si="6"/>
        <v>Normal</v>
      </c>
    </row>
    <row r="432" spans="1:18" x14ac:dyDescent="0.3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  <c r="P432">
        <f>Table1_2[[#This Row],[Quantity]]*Table1_2[[#This Row],[UnitPrice]]</f>
        <v>450.07</v>
      </c>
      <c r="Q432" t="s">
        <v>1644</v>
      </c>
      <c r="R432" t="str">
        <f t="shared" si="6"/>
        <v>Normal</v>
      </c>
    </row>
    <row r="433" spans="1:18" x14ac:dyDescent="0.3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  <c r="P433">
        <f>Table1_2[[#This Row],[Quantity]]*Table1_2[[#This Row],[UnitPrice]]</f>
        <v>52.54</v>
      </c>
      <c r="Q433" t="s">
        <v>1645</v>
      </c>
      <c r="R433" t="str">
        <f t="shared" si="6"/>
        <v>Normal</v>
      </c>
    </row>
    <row r="434" spans="1:18" x14ac:dyDescent="0.3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4303</v>
      </c>
      <c r="M434" t="s">
        <v>4279</v>
      </c>
      <c r="N434">
        <v>848.64</v>
      </c>
      <c r="P434">
        <f>Table1_2[[#This Row],[Quantity]]*Table1_2[[#This Row],[UnitPrice]]</f>
        <v>848.64</v>
      </c>
      <c r="Q434" t="s">
        <v>1646</v>
      </c>
      <c r="R434" t="str">
        <f t="shared" si="6"/>
        <v>Normal</v>
      </c>
    </row>
    <row r="435" spans="1:18" x14ac:dyDescent="0.3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  <c r="P435">
        <f>Table1_2[[#This Row],[Quantity]]*Table1_2[[#This Row],[UnitPrice]]</f>
        <v>1894.92</v>
      </c>
      <c r="Q435" t="s">
        <v>1647</v>
      </c>
      <c r="R435" t="str">
        <f t="shared" si="6"/>
        <v>Normal</v>
      </c>
    </row>
    <row r="436" spans="1:18" x14ac:dyDescent="0.3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4303</v>
      </c>
      <c r="M436" t="s">
        <v>4281</v>
      </c>
      <c r="N436">
        <v>1638.4</v>
      </c>
      <c r="P436">
        <f>Table1_2[[#This Row],[Quantity]]*Table1_2[[#This Row],[UnitPrice]]</f>
        <v>1638.4</v>
      </c>
      <c r="Q436" t="s">
        <v>1648</v>
      </c>
      <c r="R436" t="str">
        <f t="shared" si="6"/>
        <v>Normal</v>
      </c>
    </row>
    <row r="437" spans="1:18" x14ac:dyDescent="0.3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  <c r="P437">
        <f>Table1_2[[#This Row],[Quantity]]*Table1_2[[#This Row],[UnitPrice]]</f>
        <v>414.47</v>
      </c>
      <c r="Q437" t="s">
        <v>1649</v>
      </c>
      <c r="R437" t="str">
        <f t="shared" si="6"/>
        <v>Normal</v>
      </c>
    </row>
    <row r="438" spans="1:18" x14ac:dyDescent="0.3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4303</v>
      </c>
      <c r="M438" t="s">
        <v>4282</v>
      </c>
      <c r="N438">
        <v>885.32</v>
      </c>
      <c r="P438">
        <f>Table1_2[[#This Row],[Quantity]]*Table1_2[[#This Row],[UnitPrice]]</f>
        <v>885.32</v>
      </c>
      <c r="Q438" t="s">
        <v>1650</v>
      </c>
      <c r="R438" t="str">
        <f t="shared" si="6"/>
        <v>Normal</v>
      </c>
    </row>
    <row r="439" spans="1:18" x14ac:dyDescent="0.3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  <c r="P439">
        <f>Table1_2[[#This Row],[Quantity]]*Table1_2[[#This Row],[UnitPrice]]</f>
        <v>512.39</v>
      </c>
      <c r="Q439" t="s">
        <v>1651</v>
      </c>
      <c r="R439" t="str">
        <f t="shared" si="6"/>
        <v>Normal</v>
      </c>
    </row>
    <row r="440" spans="1:18" x14ac:dyDescent="0.3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  <c r="P440">
        <f>Table1_2[[#This Row],[Quantity]]*Table1_2[[#This Row],[UnitPrice]]</f>
        <v>1378.02</v>
      </c>
      <c r="Q440" t="s">
        <v>1652</v>
      </c>
      <c r="R440" t="str">
        <f t="shared" si="6"/>
        <v>Normal</v>
      </c>
    </row>
    <row r="441" spans="1:18" x14ac:dyDescent="0.3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  <c r="P441">
        <f>Table1_2[[#This Row],[Quantity]]*Table1_2[[#This Row],[UnitPrice]]</f>
        <v>146.32</v>
      </c>
      <c r="Q441" t="s">
        <v>1653</v>
      </c>
      <c r="R441" t="str">
        <f t="shared" si="6"/>
        <v>Normal</v>
      </c>
    </row>
    <row r="442" spans="1:18" x14ac:dyDescent="0.3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  <c r="P442">
        <f>Table1_2[[#This Row],[Quantity]]*Table1_2[[#This Row],[UnitPrice]]</f>
        <v>334.4</v>
      </c>
      <c r="Q442" t="s">
        <v>1654</v>
      </c>
      <c r="R442" t="str">
        <f t="shared" si="6"/>
        <v>Normal</v>
      </c>
    </row>
    <row r="443" spans="1:18" x14ac:dyDescent="0.3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  <c r="P443">
        <f>Table1_2[[#This Row],[Quantity]]*Table1_2[[#This Row],[UnitPrice]]</f>
        <v>657.08</v>
      </c>
      <c r="Q443" t="s">
        <v>1655</v>
      </c>
      <c r="R443" t="str">
        <f t="shared" si="6"/>
        <v>Normal</v>
      </c>
    </row>
    <row r="444" spans="1:18" x14ac:dyDescent="0.3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  <c r="P444">
        <f>Table1_2[[#This Row],[Quantity]]*Table1_2[[#This Row],[UnitPrice]]</f>
        <v>1574.7</v>
      </c>
      <c r="Q444" t="s">
        <v>1656</v>
      </c>
      <c r="R444" t="str">
        <f t="shared" si="6"/>
        <v>Normal</v>
      </c>
    </row>
    <row r="445" spans="1:18" x14ac:dyDescent="0.3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4303</v>
      </c>
      <c r="M445" t="s">
        <v>4281</v>
      </c>
      <c r="N445">
        <v>139.28</v>
      </c>
      <c r="P445">
        <f>Table1_2[[#This Row],[Quantity]]*Table1_2[[#This Row],[UnitPrice]]</f>
        <v>139.28</v>
      </c>
      <c r="Q445" t="s">
        <v>1657</v>
      </c>
      <c r="R445" t="str">
        <f t="shared" si="6"/>
        <v>Normal</v>
      </c>
    </row>
    <row r="446" spans="1:18" x14ac:dyDescent="0.3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  <c r="P446">
        <f>Table1_2[[#This Row],[Quantity]]*Table1_2[[#This Row],[UnitPrice]]</f>
        <v>135.16999999999999</v>
      </c>
      <c r="Q446" t="s">
        <v>1658</v>
      </c>
      <c r="R446" t="str">
        <f t="shared" si="6"/>
        <v>Normal</v>
      </c>
    </row>
    <row r="447" spans="1:18" x14ac:dyDescent="0.3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  <c r="P447">
        <f>Table1_2[[#This Row],[Quantity]]*Table1_2[[#This Row],[UnitPrice]]</f>
        <v>487.21</v>
      </c>
      <c r="Q447" t="s">
        <v>1659</v>
      </c>
      <c r="R447" t="str">
        <f t="shared" si="6"/>
        <v>Normal</v>
      </c>
    </row>
    <row r="448" spans="1:18" x14ac:dyDescent="0.3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  <c r="P448">
        <f>Table1_2[[#This Row],[Quantity]]*Table1_2[[#This Row],[UnitPrice]]</f>
        <v>2547.9</v>
      </c>
      <c r="Q448" t="s">
        <v>1660</v>
      </c>
      <c r="R448" t="str">
        <f t="shared" si="6"/>
        <v>Outlier</v>
      </c>
    </row>
    <row r="449" spans="1:18" x14ac:dyDescent="0.3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4303</v>
      </c>
      <c r="M449" t="s">
        <v>4281</v>
      </c>
      <c r="N449">
        <v>833.62</v>
      </c>
      <c r="P449">
        <f>Table1_2[[#This Row],[Quantity]]*Table1_2[[#This Row],[UnitPrice]]</f>
        <v>833.62</v>
      </c>
      <c r="Q449" t="s">
        <v>1661</v>
      </c>
      <c r="R449" t="str">
        <f t="shared" si="6"/>
        <v>Normal</v>
      </c>
    </row>
    <row r="450" spans="1:18" x14ac:dyDescent="0.3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  <c r="P450">
        <f>Table1_2[[#This Row],[Quantity]]*Table1_2[[#This Row],[UnitPrice]]</f>
        <v>320</v>
      </c>
      <c r="Q450" t="s">
        <v>1662</v>
      </c>
      <c r="R450" t="str">
        <f t="shared" si="6"/>
        <v>Normal</v>
      </c>
    </row>
    <row r="451" spans="1:18" x14ac:dyDescent="0.3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4303</v>
      </c>
      <c r="M451" t="s">
        <v>4278</v>
      </c>
      <c r="N451">
        <v>759.15000000000009</v>
      </c>
      <c r="P451">
        <f>Table1_2[[#This Row],[Quantity]]*Table1_2[[#This Row],[UnitPrice]]</f>
        <v>759.15000000000009</v>
      </c>
      <c r="Q451" t="s">
        <v>1663</v>
      </c>
      <c r="R451" t="str">
        <f t="shared" ref="R451:R514" si="7">IF(OR(N451&lt;$S$2-1.5*($T$2-$S$2),N451&gt;$S$2+1.5*($T$2-$S$2)), "Outlier", "Normal")</f>
        <v>Normal</v>
      </c>
    </row>
    <row r="452" spans="1:18" x14ac:dyDescent="0.3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  <c r="P452">
        <f>Table1_2[[#This Row],[Quantity]]*Table1_2[[#This Row],[UnitPrice]]</f>
        <v>3075.5</v>
      </c>
      <c r="Q452" t="s">
        <v>1664</v>
      </c>
      <c r="R452" t="str">
        <f t="shared" si="7"/>
        <v>Outlier</v>
      </c>
    </row>
    <row r="453" spans="1:18" x14ac:dyDescent="0.3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  <c r="P453">
        <f>Table1_2[[#This Row],[Quantity]]*Table1_2[[#This Row],[UnitPrice]]</f>
        <v>183.18</v>
      </c>
      <c r="Q453" t="s">
        <v>1665</v>
      </c>
      <c r="R453" t="str">
        <f t="shared" si="7"/>
        <v>Normal</v>
      </c>
    </row>
    <row r="454" spans="1:18" x14ac:dyDescent="0.3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  <c r="P454">
        <f>Table1_2[[#This Row],[Quantity]]*Table1_2[[#This Row],[UnitPrice]]</f>
        <v>75.78</v>
      </c>
      <c r="Q454" t="s">
        <v>1666</v>
      </c>
      <c r="R454" t="str">
        <f t="shared" si="7"/>
        <v>Normal</v>
      </c>
    </row>
    <row r="455" spans="1:18" x14ac:dyDescent="0.3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  <c r="P455">
        <f>Table1_2[[#This Row],[Quantity]]*Table1_2[[#This Row],[UnitPrice]]</f>
        <v>675.57</v>
      </c>
      <c r="Q455" t="s">
        <v>1667</v>
      </c>
      <c r="R455" t="str">
        <f t="shared" si="7"/>
        <v>Normal</v>
      </c>
    </row>
    <row r="456" spans="1:18" x14ac:dyDescent="0.3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  <c r="P456">
        <f>Table1_2[[#This Row],[Quantity]]*Table1_2[[#This Row],[UnitPrice]]</f>
        <v>109.29</v>
      </c>
      <c r="Q456" t="s">
        <v>1668</v>
      </c>
      <c r="R456" t="str">
        <f t="shared" si="7"/>
        <v>Normal</v>
      </c>
    </row>
    <row r="457" spans="1:18" x14ac:dyDescent="0.3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  <c r="P457">
        <f>Table1_2[[#This Row],[Quantity]]*Table1_2[[#This Row],[UnitPrice]]</f>
        <v>639.83000000000004</v>
      </c>
      <c r="Q457" t="s">
        <v>1669</v>
      </c>
      <c r="R457" t="str">
        <f t="shared" si="7"/>
        <v>Normal</v>
      </c>
    </row>
    <row r="458" spans="1:18" x14ac:dyDescent="0.3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  <c r="P458">
        <f>Table1_2[[#This Row],[Quantity]]*Table1_2[[#This Row],[UnitPrice]]</f>
        <v>314.05</v>
      </c>
      <c r="Q458" t="s">
        <v>1670</v>
      </c>
      <c r="R458" t="str">
        <f t="shared" si="7"/>
        <v>Normal</v>
      </c>
    </row>
    <row r="459" spans="1:18" x14ac:dyDescent="0.3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  <c r="P459">
        <f>Table1_2[[#This Row],[Quantity]]*Table1_2[[#This Row],[UnitPrice]]</f>
        <v>2463.3200000000002</v>
      </c>
      <c r="Q459" t="s">
        <v>1671</v>
      </c>
      <c r="R459" t="str">
        <f t="shared" si="7"/>
        <v>Outlier</v>
      </c>
    </row>
    <row r="460" spans="1:18" x14ac:dyDescent="0.3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  <c r="P460">
        <f>Table1_2[[#This Row],[Quantity]]*Table1_2[[#This Row],[UnitPrice]]</f>
        <v>2042.32</v>
      </c>
      <c r="Q460" t="s">
        <v>1672</v>
      </c>
      <c r="R460" t="str">
        <f t="shared" si="7"/>
        <v>Normal</v>
      </c>
    </row>
    <row r="461" spans="1:18" x14ac:dyDescent="0.3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4303</v>
      </c>
      <c r="M461" t="s">
        <v>4278</v>
      </c>
      <c r="N461">
        <v>334.39</v>
      </c>
      <c r="P461">
        <f>Table1_2[[#This Row],[Quantity]]*Table1_2[[#This Row],[UnitPrice]]</f>
        <v>334.39</v>
      </c>
      <c r="Q461" t="s">
        <v>1673</v>
      </c>
      <c r="R461" t="str">
        <f t="shared" si="7"/>
        <v>Normal</v>
      </c>
    </row>
    <row r="462" spans="1:18" x14ac:dyDescent="0.3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  <c r="P462">
        <f>Table1_2[[#This Row],[Quantity]]*Table1_2[[#This Row],[UnitPrice]]</f>
        <v>144.25</v>
      </c>
      <c r="Q462" t="s">
        <v>1674</v>
      </c>
      <c r="R462" t="str">
        <f t="shared" si="7"/>
        <v>Normal</v>
      </c>
    </row>
    <row r="463" spans="1:18" x14ac:dyDescent="0.3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  <c r="P463">
        <f>Table1_2[[#This Row],[Quantity]]*Table1_2[[#This Row],[UnitPrice]]</f>
        <v>401.82</v>
      </c>
      <c r="Q463" t="s">
        <v>1675</v>
      </c>
      <c r="R463" t="str">
        <f t="shared" si="7"/>
        <v>Normal</v>
      </c>
    </row>
    <row r="464" spans="1:18" x14ac:dyDescent="0.3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4303</v>
      </c>
      <c r="M464" t="s">
        <v>4279</v>
      </c>
      <c r="N464">
        <v>252.68</v>
      </c>
      <c r="P464">
        <f>Table1_2[[#This Row],[Quantity]]*Table1_2[[#This Row],[UnitPrice]]</f>
        <v>252.68</v>
      </c>
      <c r="Q464" t="s">
        <v>1676</v>
      </c>
      <c r="R464" t="str">
        <f t="shared" si="7"/>
        <v>Normal</v>
      </c>
    </row>
    <row r="465" spans="1:18" x14ac:dyDescent="0.3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  <c r="P465">
        <f>Table1_2[[#This Row],[Quantity]]*Table1_2[[#This Row],[UnitPrice]]</f>
        <v>3313.8999999999996</v>
      </c>
      <c r="Q465" t="s">
        <v>1677</v>
      </c>
      <c r="R465" t="str">
        <f t="shared" si="7"/>
        <v>Outlier</v>
      </c>
    </row>
    <row r="466" spans="1:18" x14ac:dyDescent="0.3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  <c r="P466">
        <f>Table1_2[[#This Row],[Quantity]]*Table1_2[[#This Row],[UnitPrice]]</f>
        <v>1737.68</v>
      </c>
      <c r="Q466" t="s">
        <v>1678</v>
      </c>
      <c r="R466" t="str">
        <f t="shared" si="7"/>
        <v>Normal</v>
      </c>
    </row>
    <row r="467" spans="1:18" x14ac:dyDescent="0.3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4303</v>
      </c>
      <c r="M467" t="s">
        <v>4282</v>
      </c>
      <c r="N467">
        <v>2567.4499999999998</v>
      </c>
      <c r="P467">
        <f>Table1_2[[#This Row],[Quantity]]*Table1_2[[#This Row],[UnitPrice]]</f>
        <v>2567.4499999999998</v>
      </c>
      <c r="Q467" t="s">
        <v>1679</v>
      </c>
      <c r="R467" t="str">
        <f t="shared" si="7"/>
        <v>Outlier</v>
      </c>
    </row>
    <row r="468" spans="1:18" x14ac:dyDescent="0.3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  <c r="P468">
        <f>Table1_2[[#This Row],[Quantity]]*Table1_2[[#This Row],[UnitPrice]]</f>
        <v>432.47</v>
      </c>
      <c r="Q468" t="s">
        <v>1680</v>
      </c>
      <c r="R468" t="str">
        <f t="shared" si="7"/>
        <v>Normal</v>
      </c>
    </row>
    <row r="469" spans="1:18" x14ac:dyDescent="0.3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  <c r="P469">
        <f>Table1_2[[#This Row],[Quantity]]*Table1_2[[#This Row],[UnitPrice]]</f>
        <v>45.94</v>
      </c>
      <c r="Q469" t="s">
        <v>1681</v>
      </c>
      <c r="R469" t="str">
        <f t="shared" si="7"/>
        <v>Normal</v>
      </c>
    </row>
    <row r="470" spans="1:18" x14ac:dyDescent="0.3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  <c r="P470">
        <f>Table1_2[[#This Row],[Quantity]]*Table1_2[[#This Row],[UnitPrice]]</f>
        <v>418.36</v>
      </c>
      <c r="Q470" t="s">
        <v>1682</v>
      </c>
      <c r="R470" t="str">
        <f t="shared" si="7"/>
        <v>Normal</v>
      </c>
    </row>
    <row r="471" spans="1:18" x14ac:dyDescent="0.3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4303</v>
      </c>
      <c r="M471" t="s">
        <v>4281</v>
      </c>
      <c r="N471">
        <v>3384.9</v>
      </c>
      <c r="P471">
        <f>Table1_2[[#This Row],[Quantity]]*Table1_2[[#This Row],[UnitPrice]]</f>
        <v>3384.9</v>
      </c>
      <c r="Q471" t="s">
        <v>1683</v>
      </c>
      <c r="R471" t="str">
        <f t="shared" si="7"/>
        <v>Outlier</v>
      </c>
    </row>
    <row r="472" spans="1:18" x14ac:dyDescent="0.3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  <c r="P472">
        <f>Table1_2[[#This Row],[Quantity]]*Table1_2[[#This Row],[UnitPrice]]</f>
        <v>1054.48</v>
      </c>
      <c r="Q472" t="s">
        <v>1684</v>
      </c>
      <c r="R472" t="str">
        <f t="shared" si="7"/>
        <v>Normal</v>
      </c>
    </row>
    <row r="473" spans="1:18" x14ac:dyDescent="0.3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  <c r="P473">
        <f>Table1_2[[#This Row],[Quantity]]*Table1_2[[#This Row],[UnitPrice]]</f>
        <v>2756.35</v>
      </c>
      <c r="Q473" t="s">
        <v>1685</v>
      </c>
      <c r="R473" t="str">
        <f t="shared" si="7"/>
        <v>Outlier</v>
      </c>
    </row>
    <row r="474" spans="1:18" x14ac:dyDescent="0.3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  <c r="P474">
        <f>Table1_2[[#This Row],[Quantity]]*Table1_2[[#This Row],[UnitPrice]]</f>
        <v>1524.3600000000001</v>
      </c>
      <c r="Q474" t="s">
        <v>1686</v>
      </c>
      <c r="R474" t="str">
        <f t="shared" si="7"/>
        <v>Normal</v>
      </c>
    </row>
    <row r="475" spans="1:18" x14ac:dyDescent="0.3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4303</v>
      </c>
      <c r="M475" t="s">
        <v>4281</v>
      </c>
      <c r="N475">
        <v>29.86</v>
      </c>
      <c r="P475">
        <f>Table1_2[[#This Row],[Quantity]]*Table1_2[[#This Row],[UnitPrice]]</f>
        <v>29.86</v>
      </c>
      <c r="Q475" t="s">
        <v>1687</v>
      </c>
      <c r="R475" t="str">
        <f t="shared" si="7"/>
        <v>Normal</v>
      </c>
    </row>
    <row r="476" spans="1:18" x14ac:dyDescent="0.3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  <c r="P476">
        <f>Table1_2[[#This Row],[Quantity]]*Table1_2[[#This Row],[UnitPrice]]</f>
        <v>688.02</v>
      </c>
      <c r="Q476" t="s">
        <v>1688</v>
      </c>
      <c r="R476" t="str">
        <f t="shared" si="7"/>
        <v>Normal</v>
      </c>
    </row>
    <row r="477" spans="1:18" x14ac:dyDescent="0.3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  <c r="P477">
        <f>Table1_2[[#This Row],[Quantity]]*Table1_2[[#This Row],[UnitPrice]]</f>
        <v>877.24</v>
      </c>
      <c r="Q477" t="s">
        <v>1689</v>
      </c>
      <c r="R477" t="str">
        <f t="shared" si="7"/>
        <v>Normal</v>
      </c>
    </row>
    <row r="478" spans="1:18" x14ac:dyDescent="0.3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  <c r="P478">
        <f>Table1_2[[#This Row],[Quantity]]*Table1_2[[#This Row],[UnitPrice]]</f>
        <v>1027.18</v>
      </c>
      <c r="Q478" t="s">
        <v>1690</v>
      </c>
      <c r="R478" t="str">
        <f t="shared" si="7"/>
        <v>Normal</v>
      </c>
    </row>
    <row r="479" spans="1:18" x14ac:dyDescent="0.3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  <c r="P479">
        <f>Table1_2[[#This Row],[Quantity]]*Table1_2[[#This Row],[UnitPrice]]</f>
        <v>507.48</v>
      </c>
      <c r="Q479" t="s">
        <v>1691</v>
      </c>
      <c r="R479" t="str">
        <f t="shared" si="7"/>
        <v>Normal</v>
      </c>
    </row>
    <row r="480" spans="1:18" x14ac:dyDescent="0.3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  <c r="P480">
        <f>Table1_2[[#This Row],[Quantity]]*Table1_2[[#This Row],[UnitPrice]]</f>
        <v>188.31</v>
      </c>
      <c r="Q480" t="s">
        <v>1692</v>
      </c>
      <c r="R480" t="str">
        <f t="shared" si="7"/>
        <v>Normal</v>
      </c>
    </row>
    <row r="481" spans="1:18" x14ac:dyDescent="0.3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4303</v>
      </c>
      <c r="M481" t="s">
        <v>4282</v>
      </c>
      <c r="N481">
        <v>101.16</v>
      </c>
      <c r="P481">
        <f>Table1_2[[#This Row],[Quantity]]*Table1_2[[#This Row],[UnitPrice]]</f>
        <v>101.16</v>
      </c>
      <c r="Q481" t="s">
        <v>1693</v>
      </c>
      <c r="R481" t="str">
        <f t="shared" si="7"/>
        <v>Normal</v>
      </c>
    </row>
    <row r="482" spans="1:18" x14ac:dyDescent="0.3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  <c r="P482">
        <f>Table1_2[[#This Row],[Quantity]]*Table1_2[[#This Row],[UnitPrice]]</f>
        <v>335.1</v>
      </c>
      <c r="Q482" t="s">
        <v>1694</v>
      </c>
      <c r="R482" t="str">
        <f t="shared" si="7"/>
        <v>Normal</v>
      </c>
    </row>
    <row r="483" spans="1:18" x14ac:dyDescent="0.3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  <c r="P483">
        <f>Table1_2[[#This Row],[Quantity]]*Table1_2[[#This Row],[UnitPrice]]</f>
        <v>1939.4</v>
      </c>
      <c r="Q483" t="s">
        <v>1695</v>
      </c>
      <c r="R483" t="str">
        <f t="shared" si="7"/>
        <v>Normal</v>
      </c>
    </row>
    <row r="484" spans="1:18" x14ac:dyDescent="0.3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4303</v>
      </c>
      <c r="M484" t="s">
        <v>4278</v>
      </c>
      <c r="N484">
        <v>1144.23</v>
      </c>
      <c r="P484">
        <f>Table1_2[[#This Row],[Quantity]]*Table1_2[[#This Row],[UnitPrice]]</f>
        <v>1144.23</v>
      </c>
      <c r="Q484" t="s">
        <v>1696</v>
      </c>
      <c r="R484" t="str">
        <f t="shared" si="7"/>
        <v>Normal</v>
      </c>
    </row>
    <row r="485" spans="1:18" x14ac:dyDescent="0.3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  <c r="P485">
        <f>Table1_2[[#This Row],[Quantity]]*Table1_2[[#This Row],[UnitPrice]]</f>
        <v>1739.6000000000001</v>
      </c>
      <c r="Q485" t="s">
        <v>1697</v>
      </c>
      <c r="R485" t="str">
        <f t="shared" si="7"/>
        <v>Normal</v>
      </c>
    </row>
    <row r="486" spans="1:18" x14ac:dyDescent="0.3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4303</v>
      </c>
      <c r="M486" t="s">
        <v>4281</v>
      </c>
      <c r="N486">
        <v>60.04</v>
      </c>
      <c r="P486">
        <f>Table1_2[[#This Row],[Quantity]]*Table1_2[[#This Row],[UnitPrice]]</f>
        <v>60.04</v>
      </c>
      <c r="Q486" t="s">
        <v>1698</v>
      </c>
      <c r="R486" t="str">
        <f t="shared" si="7"/>
        <v>Normal</v>
      </c>
    </row>
    <row r="487" spans="1:18" x14ac:dyDescent="0.3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  <c r="P487">
        <f>Table1_2[[#This Row],[Quantity]]*Table1_2[[#This Row],[UnitPrice]]</f>
        <v>1214.3700000000001</v>
      </c>
      <c r="Q487" t="s">
        <v>1699</v>
      </c>
      <c r="R487" t="str">
        <f t="shared" si="7"/>
        <v>Normal</v>
      </c>
    </row>
    <row r="488" spans="1:18" x14ac:dyDescent="0.3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  <c r="P488">
        <f>Table1_2[[#This Row],[Quantity]]*Table1_2[[#This Row],[UnitPrice]]</f>
        <v>2445.04</v>
      </c>
      <c r="Q488" t="s">
        <v>1700</v>
      </c>
      <c r="R488" t="str">
        <f t="shared" si="7"/>
        <v>Outlier</v>
      </c>
    </row>
    <row r="489" spans="1:18" x14ac:dyDescent="0.3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  <c r="P489">
        <f>Table1_2[[#This Row],[Quantity]]*Table1_2[[#This Row],[UnitPrice]]</f>
        <v>1039.56</v>
      </c>
      <c r="Q489" t="s">
        <v>1701</v>
      </c>
      <c r="R489" t="str">
        <f t="shared" si="7"/>
        <v>Normal</v>
      </c>
    </row>
    <row r="490" spans="1:18" x14ac:dyDescent="0.3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  <c r="P490">
        <f>Table1_2[[#This Row],[Quantity]]*Table1_2[[#This Row],[UnitPrice]]</f>
        <v>36.65</v>
      </c>
      <c r="Q490" t="s">
        <v>1702</v>
      </c>
      <c r="R490" t="str">
        <f t="shared" si="7"/>
        <v>Normal</v>
      </c>
    </row>
    <row r="491" spans="1:18" x14ac:dyDescent="0.3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  <c r="P491">
        <f>Table1_2[[#This Row],[Quantity]]*Table1_2[[#This Row],[UnitPrice]]</f>
        <v>448.02</v>
      </c>
      <c r="Q491" t="s">
        <v>1703</v>
      </c>
      <c r="R491" t="str">
        <f t="shared" si="7"/>
        <v>Normal</v>
      </c>
    </row>
    <row r="492" spans="1:18" x14ac:dyDescent="0.3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4303</v>
      </c>
      <c r="M492" t="s">
        <v>4281</v>
      </c>
      <c r="N492">
        <v>2339.0500000000002</v>
      </c>
      <c r="P492">
        <f>Table1_2[[#This Row],[Quantity]]*Table1_2[[#This Row],[UnitPrice]]</f>
        <v>2339.0500000000002</v>
      </c>
      <c r="Q492" t="s">
        <v>1704</v>
      </c>
      <c r="R492" t="str">
        <f t="shared" si="7"/>
        <v>Outlier</v>
      </c>
    </row>
    <row r="493" spans="1:18" x14ac:dyDescent="0.3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  <c r="P493">
        <f>Table1_2[[#This Row],[Quantity]]*Table1_2[[#This Row],[UnitPrice]]</f>
        <v>2103.5</v>
      </c>
      <c r="Q493" t="s">
        <v>1705</v>
      </c>
      <c r="R493" t="str">
        <f t="shared" si="7"/>
        <v>Normal</v>
      </c>
    </row>
    <row r="494" spans="1:18" x14ac:dyDescent="0.3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  <c r="P494">
        <f>Table1_2[[#This Row],[Quantity]]*Table1_2[[#This Row],[UnitPrice]]</f>
        <v>3032.6</v>
      </c>
      <c r="Q494" t="s">
        <v>1706</v>
      </c>
      <c r="R494" t="str">
        <f t="shared" si="7"/>
        <v>Outlier</v>
      </c>
    </row>
    <row r="495" spans="1:18" x14ac:dyDescent="0.3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  <c r="P495">
        <f>Table1_2[[#This Row],[Quantity]]*Table1_2[[#This Row],[UnitPrice]]</f>
        <v>420.26</v>
      </c>
      <c r="Q495" t="s">
        <v>1707</v>
      </c>
      <c r="R495" t="str">
        <f t="shared" si="7"/>
        <v>Normal</v>
      </c>
    </row>
    <row r="496" spans="1:18" x14ac:dyDescent="0.3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  <c r="P496">
        <f>Table1_2[[#This Row],[Quantity]]*Table1_2[[#This Row],[UnitPrice]]</f>
        <v>1517.3700000000001</v>
      </c>
      <c r="Q496" t="s">
        <v>1708</v>
      </c>
      <c r="R496" t="str">
        <f t="shared" si="7"/>
        <v>Normal</v>
      </c>
    </row>
    <row r="497" spans="1:18" x14ac:dyDescent="0.3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  <c r="P497">
        <f>Table1_2[[#This Row],[Quantity]]*Table1_2[[#This Row],[UnitPrice]]</f>
        <v>1974.92</v>
      </c>
      <c r="Q497" t="s">
        <v>1709</v>
      </c>
      <c r="R497" t="str">
        <f t="shared" si="7"/>
        <v>Normal</v>
      </c>
    </row>
    <row r="498" spans="1:18" x14ac:dyDescent="0.3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  <c r="P498">
        <f>Table1_2[[#This Row],[Quantity]]*Table1_2[[#This Row],[UnitPrice]]</f>
        <v>603.63</v>
      </c>
      <c r="Q498" t="s">
        <v>1710</v>
      </c>
      <c r="R498" t="str">
        <f t="shared" si="7"/>
        <v>Normal</v>
      </c>
    </row>
    <row r="499" spans="1:18" x14ac:dyDescent="0.3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4303</v>
      </c>
      <c r="M499" t="s">
        <v>4282</v>
      </c>
      <c r="N499">
        <v>336.87</v>
      </c>
      <c r="P499">
        <f>Table1_2[[#This Row],[Quantity]]*Table1_2[[#This Row],[UnitPrice]]</f>
        <v>336.87</v>
      </c>
      <c r="Q499" t="s">
        <v>1711</v>
      </c>
      <c r="R499" t="str">
        <f t="shared" si="7"/>
        <v>Normal</v>
      </c>
    </row>
    <row r="500" spans="1:18" x14ac:dyDescent="0.3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  <c r="P500">
        <f>Table1_2[[#This Row],[Quantity]]*Table1_2[[#This Row],[UnitPrice]]</f>
        <v>530.24</v>
      </c>
      <c r="Q500" t="s">
        <v>1712</v>
      </c>
      <c r="R500" t="str">
        <f t="shared" si="7"/>
        <v>Normal</v>
      </c>
    </row>
    <row r="501" spans="1:18" x14ac:dyDescent="0.3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  <c r="P501">
        <f>Table1_2[[#This Row],[Quantity]]*Table1_2[[#This Row],[UnitPrice]]</f>
        <v>1618.38</v>
      </c>
      <c r="Q501" t="s">
        <v>1713</v>
      </c>
      <c r="R501" t="str">
        <f t="shared" si="7"/>
        <v>Normal</v>
      </c>
    </row>
    <row r="502" spans="1:18" x14ac:dyDescent="0.3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  <c r="P502">
        <f>Table1_2[[#This Row],[Quantity]]*Table1_2[[#This Row],[UnitPrice]]</f>
        <v>2542.9499999999998</v>
      </c>
      <c r="Q502" t="s">
        <v>1714</v>
      </c>
      <c r="R502" t="str">
        <f t="shared" si="7"/>
        <v>Outlier</v>
      </c>
    </row>
    <row r="503" spans="1:18" x14ac:dyDescent="0.3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  <c r="P503">
        <f>Table1_2[[#This Row],[Quantity]]*Table1_2[[#This Row],[UnitPrice]]</f>
        <v>813.84</v>
      </c>
      <c r="Q503" t="s">
        <v>1715</v>
      </c>
      <c r="R503" t="str">
        <f t="shared" si="7"/>
        <v>Normal</v>
      </c>
    </row>
    <row r="504" spans="1:18" x14ac:dyDescent="0.3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  <c r="P504">
        <f>Table1_2[[#This Row],[Quantity]]*Table1_2[[#This Row],[UnitPrice]]</f>
        <v>1695.75</v>
      </c>
      <c r="Q504" t="s">
        <v>1716</v>
      </c>
      <c r="R504" t="str">
        <f t="shared" si="7"/>
        <v>Normal</v>
      </c>
    </row>
    <row r="505" spans="1:18" x14ac:dyDescent="0.3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  <c r="P505">
        <f>Table1_2[[#This Row],[Quantity]]*Table1_2[[#This Row],[UnitPrice]]</f>
        <v>410.52</v>
      </c>
      <c r="Q505" t="s">
        <v>1717</v>
      </c>
      <c r="R505" t="str">
        <f t="shared" si="7"/>
        <v>Normal</v>
      </c>
    </row>
    <row r="506" spans="1:18" x14ac:dyDescent="0.3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  <c r="P506">
        <f>Table1_2[[#This Row],[Quantity]]*Table1_2[[#This Row],[UnitPrice]]</f>
        <v>929</v>
      </c>
      <c r="Q506" t="s">
        <v>1718</v>
      </c>
      <c r="R506" t="str">
        <f t="shared" si="7"/>
        <v>Normal</v>
      </c>
    </row>
    <row r="507" spans="1:18" x14ac:dyDescent="0.3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4303</v>
      </c>
      <c r="M507" t="s">
        <v>4280</v>
      </c>
      <c r="N507">
        <v>869.94</v>
      </c>
      <c r="P507">
        <f>Table1_2[[#This Row],[Quantity]]*Table1_2[[#This Row],[UnitPrice]]</f>
        <v>869.94</v>
      </c>
      <c r="Q507" t="s">
        <v>1719</v>
      </c>
      <c r="R507" t="str">
        <f t="shared" si="7"/>
        <v>Normal</v>
      </c>
    </row>
    <row r="508" spans="1:18" x14ac:dyDescent="0.3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  <c r="P508">
        <f>Table1_2[[#This Row],[Quantity]]*Table1_2[[#This Row],[UnitPrice]]</f>
        <v>87.34</v>
      </c>
      <c r="Q508" t="s">
        <v>1720</v>
      </c>
      <c r="R508" t="str">
        <f t="shared" si="7"/>
        <v>Normal</v>
      </c>
    </row>
    <row r="509" spans="1:18" x14ac:dyDescent="0.3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  <c r="P509">
        <f>Table1_2[[#This Row],[Quantity]]*Table1_2[[#This Row],[UnitPrice]]</f>
        <v>171.59</v>
      </c>
      <c r="Q509" t="s">
        <v>1721</v>
      </c>
      <c r="R509" t="str">
        <f t="shared" si="7"/>
        <v>Normal</v>
      </c>
    </row>
    <row r="510" spans="1:18" x14ac:dyDescent="0.3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4303</v>
      </c>
      <c r="M510" t="s">
        <v>4279</v>
      </c>
      <c r="N510">
        <v>558.27</v>
      </c>
      <c r="P510">
        <f>Table1_2[[#This Row],[Quantity]]*Table1_2[[#This Row],[UnitPrice]]</f>
        <v>558.27</v>
      </c>
      <c r="Q510" t="s">
        <v>1722</v>
      </c>
      <c r="R510" t="str">
        <f t="shared" si="7"/>
        <v>Normal</v>
      </c>
    </row>
    <row r="511" spans="1:18" x14ac:dyDescent="0.3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  <c r="P511">
        <f>Table1_2[[#This Row],[Quantity]]*Table1_2[[#This Row],[UnitPrice]]</f>
        <v>850.06</v>
      </c>
      <c r="Q511" t="s">
        <v>1723</v>
      </c>
      <c r="R511" t="str">
        <f t="shared" si="7"/>
        <v>Normal</v>
      </c>
    </row>
    <row r="512" spans="1:18" x14ac:dyDescent="0.3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  <c r="P512">
        <f>Table1_2[[#This Row],[Quantity]]*Table1_2[[#This Row],[UnitPrice]]</f>
        <v>376.76</v>
      </c>
      <c r="Q512" t="s">
        <v>1724</v>
      </c>
      <c r="R512" t="str">
        <f t="shared" si="7"/>
        <v>Normal</v>
      </c>
    </row>
    <row r="513" spans="1:18" x14ac:dyDescent="0.3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  <c r="P513">
        <f>Table1_2[[#This Row],[Quantity]]*Table1_2[[#This Row],[UnitPrice]]</f>
        <v>2876.2</v>
      </c>
      <c r="Q513" t="s">
        <v>1725</v>
      </c>
      <c r="R513" t="str">
        <f t="shared" si="7"/>
        <v>Outlier</v>
      </c>
    </row>
    <row r="514" spans="1:18" x14ac:dyDescent="0.3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  <c r="P514">
        <f>Table1_2[[#This Row],[Quantity]]*Table1_2[[#This Row],[UnitPrice]]</f>
        <v>1704.06</v>
      </c>
      <c r="Q514" t="s">
        <v>1726</v>
      </c>
      <c r="R514" t="str">
        <f t="shared" si="7"/>
        <v>Normal</v>
      </c>
    </row>
    <row r="515" spans="1:18" x14ac:dyDescent="0.3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4303</v>
      </c>
      <c r="M515" t="s">
        <v>4279</v>
      </c>
      <c r="N515">
        <v>284.64</v>
      </c>
      <c r="P515">
        <f>Table1_2[[#This Row],[Quantity]]*Table1_2[[#This Row],[UnitPrice]]</f>
        <v>284.64</v>
      </c>
      <c r="Q515" t="s">
        <v>1727</v>
      </c>
      <c r="R515" t="str">
        <f t="shared" ref="R515:R578" si="8">IF(OR(N515&lt;$S$2-1.5*($T$2-$S$2),N515&gt;$S$2+1.5*($T$2-$S$2)), "Outlier", "Normal")</f>
        <v>Normal</v>
      </c>
    </row>
    <row r="516" spans="1:18" x14ac:dyDescent="0.3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  <c r="P516">
        <f>Table1_2[[#This Row],[Quantity]]*Table1_2[[#This Row],[UnitPrice]]</f>
        <v>912.44999999999993</v>
      </c>
      <c r="Q516" t="s">
        <v>1728</v>
      </c>
      <c r="R516" t="str">
        <f t="shared" si="8"/>
        <v>Normal</v>
      </c>
    </row>
    <row r="517" spans="1:18" x14ac:dyDescent="0.3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  <c r="P517">
        <f>Table1_2[[#This Row],[Quantity]]*Table1_2[[#This Row],[UnitPrice]]</f>
        <v>1660.56</v>
      </c>
      <c r="Q517" t="s">
        <v>1729</v>
      </c>
      <c r="R517" t="str">
        <f t="shared" si="8"/>
        <v>Normal</v>
      </c>
    </row>
    <row r="518" spans="1:18" x14ac:dyDescent="0.3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4303</v>
      </c>
      <c r="M518" t="s">
        <v>4281</v>
      </c>
      <c r="N518">
        <v>500.97</v>
      </c>
      <c r="P518">
        <f>Table1_2[[#This Row],[Quantity]]*Table1_2[[#This Row],[UnitPrice]]</f>
        <v>500.97</v>
      </c>
      <c r="Q518" t="s">
        <v>1730</v>
      </c>
      <c r="R518" t="str">
        <f t="shared" si="8"/>
        <v>Normal</v>
      </c>
    </row>
    <row r="519" spans="1:18" x14ac:dyDescent="0.3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  <c r="P519">
        <f>Table1_2[[#This Row],[Quantity]]*Table1_2[[#This Row],[UnitPrice]]</f>
        <v>793.4</v>
      </c>
      <c r="Q519" t="s">
        <v>1731</v>
      </c>
      <c r="R519" t="str">
        <f t="shared" si="8"/>
        <v>Normal</v>
      </c>
    </row>
    <row r="520" spans="1:18" x14ac:dyDescent="0.3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  <c r="P520">
        <f>Table1_2[[#This Row],[Quantity]]*Table1_2[[#This Row],[UnitPrice]]</f>
        <v>1614.32</v>
      </c>
      <c r="Q520" t="s">
        <v>1732</v>
      </c>
      <c r="R520" t="str">
        <f t="shared" si="8"/>
        <v>Normal</v>
      </c>
    </row>
    <row r="521" spans="1:18" x14ac:dyDescent="0.3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  <c r="P521">
        <f>Table1_2[[#This Row],[Quantity]]*Table1_2[[#This Row],[UnitPrice]]</f>
        <v>1857.16</v>
      </c>
      <c r="Q521" t="s">
        <v>1733</v>
      </c>
      <c r="R521" t="str">
        <f t="shared" si="8"/>
        <v>Normal</v>
      </c>
    </row>
    <row r="522" spans="1:18" x14ac:dyDescent="0.3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4303</v>
      </c>
      <c r="M522" t="s">
        <v>4279</v>
      </c>
      <c r="N522">
        <v>1907.94</v>
      </c>
      <c r="P522">
        <f>Table1_2[[#This Row],[Quantity]]*Table1_2[[#This Row],[UnitPrice]]</f>
        <v>1907.94</v>
      </c>
      <c r="Q522" t="s">
        <v>1734</v>
      </c>
      <c r="R522" t="str">
        <f t="shared" si="8"/>
        <v>Normal</v>
      </c>
    </row>
    <row r="523" spans="1:18" x14ac:dyDescent="0.3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4303</v>
      </c>
      <c r="M523" t="s">
        <v>4281</v>
      </c>
      <c r="N523">
        <v>528.05999999999995</v>
      </c>
      <c r="P523">
        <f>Table1_2[[#This Row],[Quantity]]*Table1_2[[#This Row],[UnitPrice]]</f>
        <v>528.05999999999995</v>
      </c>
      <c r="Q523" t="s">
        <v>1735</v>
      </c>
      <c r="R523" t="str">
        <f t="shared" si="8"/>
        <v>Normal</v>
      </c>
    </row>
    <row r="524" spans="1:18" x14ac:dyDescent="0.3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  <c r="P524">
        <f>Table1_2[[#This Row],[Quantity]]*Table1_2[[#This Row],[UnitPrice]]</f>
        <v>515.32000000000005</v>
      </c>
      <c r="Q524" t="s">
        <v>1736</v>
      </c>
      <c r="R524" t="str">
        <f t="shared" si="8"/>
        <v>Normal</v>
      </c>
    </row>
    <row r="525" spans="1:18" x14ac:dyDescent="0.3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  <c r="P525">
        <f>Table1_2[[#This Row],[Quantity]]*Table1_2[[#This Row],[UnitPrice]]</f>
        <v>2631.16</v>
      </c>
      <c r="Q525" t="s">
        <v>1737</v>
      </c>
      <c r="R525" t="str">
        <f t="shared" si="8"/>
        <v>Outlier</v>
      </c>
    </row>
    <row r="526" spans="1:18" x14ac:dyDescent="0.3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4303</v>
      </c>
      <c r="M526" t="s">
        <v>4279</v>
      </c>
      <c r="N526">
        <v>153</v>
      </c>
      <c r="P526">
        <f>Table1_2[[#This Row],[Quantity]]*Table1_2[[#This Row],[UnitPrice]]</f>
        <v>153</v>
      </c>
      <c r="Q526" t="s">
        <v>1738</v>
      </c>
      <c r="R526" t="str">
        <f t="shared" si="8"/>
        <v>Normal</v>
      </c>
    </row>
    <row r="527" spans="1:18" x14ac:dyDescent="0.3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  <c r="P527">
        <f>Table1_2[[#This Row],[Quantity]]*Table1_2[[#This Row],[UnitPrice]]</f>
        <v>668.48</v>
      </c>
      <c r="Q527" t="s">
        <v>1739</v>
      </c>
      <c r="R527" t="str">
        <f t="shared" si="8"/>
        <v>Normal</v>
      </c>
    </row>
    <row r="528" spans="1:18" x14ac:dyDescent="0.3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  <c r="P528">
        <f>Table1_2[[#This Row],[Quantity]]*Table1_2[[#This Row],[UnitPrice]]</f>
        <v>93</v>
      </c>
      <c r="Q528" t="s">
        <v>1740</v>
      </c>
      <c r="R528" t="str">
        <f t="shared" si="8"/>
        <v>Normal</v>
      </c>
    </row>
    <row r="529" spans="1:18" x14ac:dyDescent="0.3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  <c r="P529">
        <f>Table1_2[[#This Row],[Quantity]]*Table1_2[[#This Row],[UnitPrice]]</f>
        <v>3267.3500000000004</v>
      </c>
      <c r="Q529" t="s">
        <v>1741</v>
      </c>
      <c r="R529" t="str">
        <f t="shared" si="8"/>
        <v>Outlier</v>
      </c>
    </row>
    <row r="530" spans="1:18" x14ac:dyDescent="0.3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  <c r="P530">
        <f>Table1_2[[#This Row],[Quantity]]*Table1_2[[#This Row],[UnitPrice]]</f>
        <v>628.89</v>
      </c>
      <c r="Q530" t="s">
        <v>1742</v>
      </c>
      <c r="R530" t="str">
        <f t="shared" si="8"/>
        <v>Normal</v>
      </c>
    </row>
    <row r="531" spans="1:18" x14ac:dyDescent="0.3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  <c r="P531">
        <f>Table1_2[[#This Row],[Quantity]]*Table1_2[[#This Row],[UnitPrice]]</f>
        <v>1350.2</v>
      </c>
      <c r="Q531" t="s">
        <v>1743</v>
      </c>
      <c r="R531" t="str">
        <f t="shared" si="8"/>
        <v>Normal</v>
      </c>
    </row>
    <row r="532" spans="1:18" x14ac:dyDescent="0.3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4303</v>
      </c>
      <c r="M532" t="s">
        <v>4282</v>
      </c>
      <c r="N532">
        <v>357.64</v>
      </c>
      <c r="P532">
        <f>Table1_2[[#This Row],[Quantity]]*Table1_2[[#This Row],[UnitPrice]]</f>
        <v>357.64</v>
      </c>
      <c r="Q532" t="s">
        <v>1744</v>
      </c>
      <c r="R532" t="str">
        <f t="shared" si="8"/>
        <v>Normal</v>
      </c>
    </row>
    <row r="533" spans="1:18" x14ac:dyDescent="0.3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4303</v>
      </c>
      <c r="M533" t="s">
        <v>4279</v>
      </c>
      <c r="N533">
        <v>1600.05</v>
      </c>
      <c r="P533">
        <f>Table1_2[[#This Row],[Quantity]]*Table1_2[[#This Row],[UnitPrice]]</f>
        <v>1600.05</v>
      </c>
      <c r="Q533" t="s">
        <v>1745</v>
      </c>
      <c r="R533" t="str">
        <f t="shared" si="8"/>
        <v>Normal</v>
      </c>
    </row>
    <row r="534" spans="1:18" x14ac:dyDescent="0.3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4303</v>
      </c>
      <c r="M534" t="s">
        <v>4280</v>
      </c>
      <c r="N534">
        <v>82</v>
      </c>
      <c r="P534">
        <f>Table1_2[[#This Row],[Quantity]]*Table1_2[[#This Row],[UnitPrice]]</f>
        <v>82</v>
      </c>
      <c r="Q534" t="s">
        <v>1746</v>
      </c>
      <c r="R534" t="str">
        <f t="shared" si="8"/>
        <v>Normal</v>
      </c>
    </row>
    <row r="535" spans="1:18" x14ac:dyDescent="0.3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  <c r="P535">
        <f>Table1_2[[#This Row],[Quantity]]*Table1_2[[#This Row],[UnitPrice]]</f>
        <v>565.85</v>
      </c>
      <c r="Q535" t="s">
        <v>1747</v>
      </c>
      <c r="R535" t="str">
        <f t="shared" si="8"/>
        <v>Normal</v>
      </c>
    </row>
    <row r="536" spans="1:18" x14ac:dyDescent="0.3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  <c r="P536">
        <f>Table1_2[[#This Row],[Quantity]]*Table1_2[[#This Row],[UnitPrice]]</f>
        <v>1945.77</v>
      </c>
      <c r="Q536" t="s">
        <v>1748</v>
      </c>
      <c r="R536" t="str">
        <f t="shared" si="8"/>
        <v>Normal</v>
      </c>
    </row>
    <row r="537" spans="1:18" x14ac:dyDescent="0.3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  <c r="P537">
        <f>Table1_2[[#This Row],[Quantity]]*Table1_2[[#This Row],[UnitPrice]]</f>
        <v>204.36</v>
      </c>
      <c r="Q537" t="s">
        <v>1749</v>
      </c>
      <c r="R537" t="str">
        <f t="shared" si="8"/>
        <v>Normal</v>
      </c>
    </row>
    <row r="538" spans="1:18" x14ac:dyDescent="0.3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4303</v>
      </c>
      <c r="M538" t="s">
        <v>4280</v>
      </c>
      <c r="N538">
        <v>616.1</v>
      </c>
      <c r="P538">
        <f>Table1_2[[#This Row],[Quantity]]*Table1_2[[#This Row],[UnitPrice]]</f>
        <v>616.1</v>
      </c>
      <c r="Q538" t="s">
        <v>1750</v>
      </c>
      <c r="R538" t="str">
        <f t="shared" si="8"/>
        <v>Normal</v>
      </c>
    </row>
    <row r="539" spans="1:18" x14ac:dyDescent="0.3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  <c r="P539">
        <f>Table1_2[[#This Row],[Quantity]]*Table1_2[[#This Row],[UnitPrice]]</f>
        <v>742.41</v>
      </c>
      <c r="Q539" t="s">
        <v>1751</v>
      </c>
      <c r="R539" t="str">
        <f t="shared" si="8"/>
        <v>Normal</v>
      </c>
    </row>
    <row r="540" spans="1:18" x14ac:dyDescent="0.3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  <c r="P540">
        <f>Table1_2[[#This Row],[Quantity]]*Table1_2[[#This Row],[UnitPrice]]</f>
        <v>1472.22</v>
      </c>
      <c r="Q540" t="s">
        <v>1752</v>
      </c>
      <c r="R540" t="str">
        <f t="shared" si="8"/>
        <v>Normal</v>
      </c>
    </row>
    <row r="541" spans="1:18" x14ac:dyDescent="0.3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  <c r="P541">
        <f>Table1_2[[#This Row],[Quantity]]*Table1_2[[#This Row],[UnitPrice]]</f>
        <v>1595.16</v>
      </c>
      <c r="Q541" t="s">
        <v>1753</v>
      </c>
      <c r="R541" t="str">
        <f t="shared" si="8"/>
        <v>Normal</v>
      </c>
    </row>
    <row r="542" spans="1:18" x14ac:dyDescent="0.3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4303</v>
      </c>
      <c r="M542" t="s">
        <v>4279</v>
      </c>
      <c r="N542">
        <v>3243.25</v>
      </c>
      <c r="P542">
        <f>Table1_2[[#This Row],[Quantity]]*Table1_2[[#This Row],[UnitPrice]]</f>
        <v>3243.25</v>
      </c>
      <c r="Q542" t="s">
        <v>1754</v>
      </c>
      <c r="R542" t="str">
        <f t="shared" si="8"/>
        <v>Outlier</v>
      </c>
    </row>
    <row r="543" spans="1:18" x14ac:dyDescent="0.3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4303</v>
      </c>
      <c r="M543" t="s">
        <v>4278</v>
      </c>
      <c r="N543">
        <v>2280.3000000000002</v>
      </c>
      <c r="P543">
        <f>Table1_2[[#This Row],[Quantity]]*Table1_2[[#This Row],[UnitPrice]]</f>
        <v>2280.3000000000002</v>
      </c>
      <c r="Q543" t="s">
        <v>1755</v>
      </c>
      <c r="R543" t="str">
        <f t="shared" si="8"/>
        <v>Outlier</v>
      </c>
    </row>
    <row r="544" spans="1:18" x14ac:dyDescent="0.3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  <c r="P544">
        <f>Table1_2[[#This Row],[Quantity]]*Table1_2[[#This Row],[UnitPrice]]</f>
        <v>17.98</v>
      </c>
      <c r="Q544" t="s">
        <v>1756</v>
      </c>
      <c r="R544" t="str">
        <f t="shared" si="8"/>
        <v>Normal</v>
      </c>
    </row>
    <row r="545" spans="1:18" x14ac:dyDescent="0.3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  <c r="P545">
        <f>Table1_2[[#This Row],[Quantity]]*Table1_2[[#This Row],[UnitPrice]]</f>
        <v>1349.3000000000002</v>
      </c>
      <c r="Q545" t="s">
        <v>1757</v>
      </c>
      <c r="R545" t="str">
        <f t="shared" si="8"/>
        <v>Normal</v>
      </c>
    </row>
    <row r="546" spans="1:18" x14ac:dyDescent="0.3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  <c r="P546">
        <f>Table1_2[[#This Row],[Quantity]]*Table1_2[[#This Row],[UnitPrice]]</f>
        <v>159.80000000000001</v>
      </c>
      <c r="Q546" t="s">
        <v>1758</v>
      </c>
      <c r="R546" t="str">
        <f t="shared" si="8"/>
        <v>Normal</v>
      </c>
    </row>
    <row r="547" spans="1:18" x14ac:dyDescent="0.3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4303</v>
      </c>
      <c r="M547" t="s">
        <v>4278</v>
      </c>
      <c r="N547">
        <v>196.94</v>
      </c>
      <c r="P547">
        <f>Table1_2[[#This Row],[Quantity]]*Table1_2[[#This Row],[UnitPrice]]</f>
        <v>196.94</v>
      </c>
      <c r="Q547" t="s">
        <v>1759</v>
      </c>
      <c r="R547" t="str">
        <f t="shared" si="8"/>
        <v>Normal</v>
      </c>
    </row>
    <row r="548" spans="1:18" x14ac:dyDescent="0.3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  <c r="P548">
        <f>Table1_2[[#This Row],[Quantity]]*Table1_2[[#This Row],[UnitPrice]]</f>
        <v>158.68</v>
      </c>
      <c r="Q548" t="s">
        <v>1760</v>
      </c>
      <c r="R548" t="str">
        <f t="shared" si="8"/>
        <v>Normal</v>
      </c>
    </row>
    <row r="549" spans="1:18" x14ac:dyDescent="0.3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  <c r="P549">
        <f>Table1_2[[#This Row],[Quantity]]*Table1_2[[#This Row],[UnitPrice]]</f>
        <v>613.98</v>
      </c>
      <c r="Q549" t="s">
        <v>1761</v>
      </c>
      <c r="R549" t="str">
        <f t="shared" si="8"/>
        <v>Normal</v>
      </c>
    </row>
    <row r="550" spans="1:18" x14ac:dyDescent="0.3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  <c r="P550">
        <f>Table1_2[[#This Row],[Quantity]]*Table1_2[[#This Row],[UnitPrice]]</f>
        <v>1278.3600000000001</v>
      </c>
      <c r="Q550" t="s">
        <v>1762</v>
      </c>
      <c r="R550" t="str">
        <f t="shared" si="8"/>
        <v>Normal</v>
      </c>
    </row>
    <row r="551" spans="1:18" x14ac:dyDescent="0.3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  <c r="P551">
        <f>Table1_2[[#This Row],[Quantity]]*Table1_2[[#This Row],[UnitPrice]]</f>
        <v>2519.52</v>
      </c>
      <c r="Q551" t="s">
        <v>1763</v>
      </c>
      <c r="R551" t="str">
        <f t="shared" si="8"/>
        <v>Outlier</v>
      </c>
    </row>
    <row r="552" spans="1:18" x14ac:dyDescent="0.3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  <c r="P552">
        <f>Table1_2[[#This Row],[Quantity]]*Table1_2[[#This Row],[UnitPrice]]</f>
        <v>915.64</v>
      </c>
      <c r="Q552" t="s">
        <v>1764</v>
      </c>
      <c r="R552" t="str">
        <f t="shared" si="8"/>
        <v>Normal</v>
      </c>
    </row>
    <row r="553" spans="1:18" x14ac:dyDescent="0.3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  <c r="P553">
        <f>Table1_2[[#This Row],[Quantity]]*Table1_2[[#This Row],[UnitPrice]]</f>
        <v>120.98</v>
      </c>
      <c r="Q553" t="s">
        <v>1765</v>
      </c>
      <c r="R553" t="str">
        <f t="shared" si="8"/>
        <v>Normal</v>
      </c>
    </row>
    <row r="554" spans="1:18" x14ac:dyDescent="0.3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  <c r="P554">
        <f>Table1_2[[#This Row],[Quantity]]*Table1_2[[#This Row],[UnitPrice]]</f>
        <v>1700.72</v>
      </c>
      <c r="Q554" t="s">
        <v>1766</v>
      </c>
      <c r="R554" t="str">
        <f t="shared" si="8"/>
        <v>Normal</v>
      </c>
    </row>
    <row r="555" spans="1:18" x14ac:dyDescent="0.3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  <c r="P555">
        <f>Table1_2[[#This Row],[Quantity]]*Table1_2[[#This Row],[UnitPrice]]</f>
        <v>667.66</v>
      </c>
      <c r="Q555" t="s">
        <v>1767</v>
      </c>
      <c r="R555" t="str">
        <f t="shared" si="8"/>
        <v>Normal</v>
      </c>
    </row>
    <row r="556" spans="1:18" x14ac:dyDescent="0.3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  <c r="P556">
        <f>Table1_2[[#This Row],[Quantity]]*Table1_2[[#This Row],[UnitPrice]]</f>
        <v>985.8</v>
      </c>
      <c r="Q556" t="s">
        <v>1768</v>
      </c>
      <c r="R556" t="str">
        <f t="shared" si="8"/>
        <v>Normal</v>
      </c>
    </row>
    <row r="557" spans="1:18" x14ac:dyDescent="0.3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4303</v>
      </c>
      <c r="M557" t="s">
        <v>4281</v>
      </c>
      <c r="N557">
        <v>92.04</v>
      </c>
      <c r="P557">
        <f>Table1_2[[#This Row],[Quantity]]*Table1_2[[#This Row],[UnitPrice]]</f>
        <v>92.04</v>
      </c>
      <c r="Q557" t="s">
        <v>1769</v>
      </c>
      <c r="R557" t="str">
        <f t="shared" si="8"/>
        <v>Normal</v>
      </c>
    </row>
    <row r="558" spans="1:18" x14ac:dyDescent="0.3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  <c r="P558">
        <f>Table1_2[[#This Row],[Quantity]]*Table1_2[[#This Row],[UnitPrice]]</f>
        <v>654.27</v>
      </c>
      <c r="Q558" t="s">
        <v>1770</v>
      </c>
      <c r="R558" t="str">
        <f t="shared" si="8"/>
        <v>Normal</v>
      </c>
    </row>
    <row r="559" spans="1:18" x14ac:dyDescent="0.3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  <c r="P559">
        <f>Table1_2[[#This Row],[Quantity]]*Table1_2[[#This Row],[UnitPrice]]</f>
        <v>56.2</v>
      </c>
      <c r="Q559" t="s">
        <v>1771</v>
      </c>
      <c r="R559" t="str">
        <f t="shared" si="8"/>
        <v>Normal</v>
      </c>
    </row>
    <row r="560" spans="1:18" x14ac:dyDescent="0.3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  <c r="P560">
        <f>Table1_2[[#This Row],[Quantity]]*Table1_2[[#This Row],[UnitPrice]]</f>
        <v>2512.48</v>
      </c>
      <c r="Q560" t="s">
        <v>1772</v>
      </c>
      <c r="R560" t="str">
        <f t="shared" si="8"/>
        <v>Outlier</v>
      </c>
    </row>
    <row r="561" spans="1:18" x14ac:dyDescent="0.3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  <c r="P561">
        <f>Table1_2[[#This Row],[Quantity]]*Table1_2[[#This Row],[UnitPrice]]</f>
        <v>472.20000000000005</v>
      </c>
      <c r="Q561" t="s">
        <v>1773</v>
      </c>
      <c r="R561" t="str">
        <f t="shared" si="8"/>
        <v>Normal</v>
      </c>
    </row>
    <row r="562" spans="1:18" x14ac:dyDescent="0.3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4303</v>
      </c>
      <c r="M562" t="s">
        <v>4280</v>
      </c>
      <c r="N562">
        <v>2355.4</v>
      </c>
      <c r="P562">
        <f>Table1_2[[#This Row],[Quantity]]*Table1_2[[#This Row],[UnitPrice]]</f>
        <v>2355.4</v>
      </c>
      <c r="Q562" t="s">
        <v>1774</v>
      </c>
      <c r="R562" t="str">
        <f t="shared" si="8"/>
        <v>Outlier</v>
      </c>
    </row>
    <row r="563" spans="1:18" x14ac:dyDescent="0.3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4303</v>
      </c>
      <c r="M563" t="s">
        <v>4282</v>
      </c>
      <c r="N563">
        <v>989.56</v>
      </c>
      <c r="P563">
        <f>Table1_2[[#This Row],[Quantity]]*Table1_2[[#This Row],[UnitPrice]]</f>
        <v>989.56</v>
      </c>
      <c r="Q563" t="s">
        <v>1775</v>
      </c>
      <c r="R563" t="str">
        <f t="shared" si="8"/>
        <v>Normal</v>
      </c>
    </row>
    <row r="564" spans="1:18" x14ac:dyDescent="0.3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  <c r="P564">
        <f>Table1_2[[#This Row],[Quantity]]*Table1_2[[#This Row],[UnitPrice]]</f>
        <v>1991.79</v>
      </c>
      <c r="Q564" t="s">
        <v>1776</v>
      </c>
      <c r="R564" t="str">
        <f t="shared" si="8"/>
        <v>Normal</v>
      </c>
    </row>
    <row r="565" spans="1:18" x14ac:dyDescent="0.3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  <c r="P565">
        <f>Table1_2[[#This Row],[Quantity]]*Table1_2[[#This Row],[UnitPrice]]</f>
        <v>132.68</v>
      </c>
      <c r="Q565" t="s">
        <v>1777</v>
      </c>
      <c r="R565" t="str">
        <f t="shared" si="8"/>
        <v>Normal</v>
      </c>
    </row>
    <row r="566" spans="1:18" x14ac:dyDescent="0.3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  <c r="P566">
        <f>Table1_2[[#This Row],[Quantity]]*Table1_2[[#This Row],[UnitPrice]]</f>
        <v>1821.3999999999999</v>
      </c>
      <c r="Q566" t="s">
        <v>1778</v>
      </c>
      <c r="R566" t="str">
        <f t="shared" si="8"/>
        <v>Normal</v>
      </c>
    </row>
    <row r="567" spans="1:18" x14ac:dyDescent="0.3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4303</v>
      </c>
      <c r="M567" t="s">
        <v>4281</v>
      </c>
      <c r="N567">
        <v>1539.9</v>
      </c>
      <c r="P567">
        <f>Table1_2[[#This Row],[Quantity]]*Table1_2[[#This Row],[UnitPrice]]</f>
        <v>1539.9</v>
      </c>
      <c r="Q567" t="s">
        <v>1779</v>
      </c>
      <c r="R567" t="str">
        <f t="shared" si="8"/>
        <v>Normal</v>
      </c>
    </row>
    <row r="568" spans="1:18" x14ac:dyDescent="0.3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  <c r="P568">
        <f>Table1_2[[#This Row],[Quantity]]*Table1_2[[#This Row],[UnitPrice]]</f>
        <v>650.84</v>
      </c>
      <c r="Q568" t="s">
        <v>1780</v>
      </c>
      <c r="R568" t="str">
        <f t="shared" si="8"/>
        <v>Normal</v>
      </c>
    </row>
    <row r="569" spans="1:18" x14ac:dyDescent="0.3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  <c r="P569">
        <f>Table1_2[[#This Row],[Quantity]]*Table1_2[[#This Row],[UnitPrice]]</f>
        <v>2464.6999999999998</v>
      </c>
      <c r="Q569" t="s">
        <v>1781</v>
      </c>
      <c r="R569" t="str">
        <f t="shared" si="8"/>
        <v>Outlier</v>
      </c>
    </row>
    <row r="570" spans="1:18" x14ac:dyDescent="0.3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4303</v>
      </c>
      <c r="M570" t="s">
        <v>4282</v>
      </c>
      <c r="N570">
        <v>687.98</v>
      </c>
      <c r="P570">
        <f>Table1_2[[#This Row],[Quantity]]*Table1_2[[#This Row],[UnitPrice]]</f>
        <v>687.98</v>
      </c>
      <c r="Q570" t="s">
        <v>1782</v>
      </c>
      <c r="R570" t="str">
        <f t="shared" si="8"/>
        <v>Normal</v>
      </c>
    </row>
    <row r="571" spans="1:18" x14ac:dyDescent="0.3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  <c r="P571">
        <f>Table1_2[[#This Row],[Quantity]]*Table1_2[[#This Row],[UnitPrice]]</f>
        <v>1253.4000000000001</v>
      </c>
      <c r="Q571" t="s">
        <v>1783</v>
      </c>
      <c r="R571" t="str">
        <f t="shared" si="8"/>
        <v>Normal</v>
      </c>
    </row>
    <row r="572" spans="1:18" x14ac:dyDescent="0.3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  <c r="P572">
        <f>Table1_2[[#This Row],[Quantity]]*Table1_2[[#This Row],[UnitPrice]]</f>
        <v>724.28</v>
      </c>
      <c r="Q572" t="s">
        <v>1784</v>
      </c>
      <c r="R572" t="str">
        <f t="shared" si="8"/>
        <v>Normal</v>
      </c>
    </row>
    <row r="573" spans="1:18" x14ac:dyDescent="0.3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  <c r="P573">
        <f>Table1_2[[#This Row],[Quantity]]*Table1_2[[#This Row],[UnitPrice]]</f>
        <v>214.08</v>
      </c>
      <c r="Q573" t="s">
        <v>1785</v>
      </c>
      <c r="R573" t="str">
        <f t="shared" si="8"/>
        <v>Normal</v>
      </c>
    </row>
    <row r="574" spans="1:18" x14ac:dyDescent="0.3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  <c r="P574">
        <f>Table1_2[[#This Row],[Quantity]]*Table1_2[[#This Row],[UnitPrice]]</f>
        <v>70.319999999999993</v>
      </c>
      <c r="Q574" t="s">
        <v>1786</v>
      </c>
      <c r="R574" t="str">
        <f t="shared" si="8"/>
        <v>Normal</v>
      </c>
    </row>
    <row r="575" spans="1:18" x14ac:dyDescent="0.3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4303</v>
      </c>
      <c r="M575" t="s">
        <v>4278</v>
      </c>
      <c r="N575">
        <v>2107.1</v>
      </c>
      <c r="P575">
        <f>Table1_2[[#This Row],[Quantity]]*Table1_2[[#This Row],[UnitPrice]]</f>
        <v>2107.1</v>
      </c>
      <c r="Q575" t="s">
        <v>1787</v>
      </c>
      <c r="R575" t="str">
        <f t="shared" si="8"/>
        <v>Normal</v>
      </c>
    </row>
    <row r="576" spans="1:18" x14ac:dyDescent="0.3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  <c r="P576">
        <f>Table1_2[[#This Row],[Quantity]]*Table1_2[[#This Row],[UnitPrice]]</f>
        <v>1923.45</v>
      </c>
      <c r="Q576" t="s">
        <v>1788</v>
      </c>
      <c r="R576" t="str">
        <f t="shared" si="8"/>
        <v>Normal</v>
      </c>
    </row>
    <row r="577" spans="1:18" x14ac:dyDescent="0.3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  <c r="P577">
        <f>Table1_2[[#This Row],[Quantity]]*Table1_2[[#This Row],[UnitPrice]]</f>
        <v>2240.75</v>
      </c>
      <c r="Q577" t="s">
        <v>1789</v>
      </c>
      <c r="R577" t="str">
        <f t="shared" si="8"/>
        <v>Outlier</v>
      </c>
    </row>
    <row r="578" spans="1:18" x14ac:dyDescent="0.3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4303</v>
      </c>
      <c r="M578" t="s">
        <v>4281</v>
      </c>
      <c r="N578">
        <v>395.4</v>
      </c>
      <c r="P578">
        <f>Table1_2[[#This Row],[Quantity]]*Table1_2[[#This Row],[UnitPrice]]</f>
        <v>395.4</v>
      </c>
      <c r="Q578" t="s">
        <v>1790</v>
      </c>
      <c r="R578" t="str">
        <f t="shared" si="8"/>
        <v>Normal</v>
      </c>
    </row>
    <row r="579" spans="1:18" x14ac:dyDescent="0.3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  <c r="P579">
        <f>Table1_2[[#This Row],[Quantity]]*Table1_2[[#This Row],[UnitPrice]]</f>
        <v>741.64</v>
      </c>
      <c r="Q579" t="s">
        <v>1791</v>
      </c>
      <c r="R579" t="str">
        <f t="shared" ref="R579:R642" si="9">IF(OR(N579&lt;$S$2-1.5*($T$2-$S$2),N579&gt;$S$2+1.5*($T$2-$S$2)), "Outlier", "Normal")</f>
        <v>Normal</v>
      </c>
    </row>
    <row r="580" spans="1:18" x14ac:dyDescent="0.3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  <c r="P580">
        <f>Table1_2[[#This Row],[Quantity]]*Table1_2[[#This Row],[UnitPrice]]</f>
        <v>2830.3500000000004</v>
      </c>
      <c r="Q580" t="s">
        <v>1792</v>
      </c>
      <c r="R580" t="str">
        <f t="shared" si="9"/>
        <v>Outlier</v>
      </c>
    </row>
    <row r="581" spans="1:18" x14ac:dyDescent="0.3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  <c r="P581">
        <f>Table1_2[[#This Row],[Quantity]]*Table1_2[[#This Row],[UnitPrice]]</f>
        <v>375.76</v>
      </c>
      <c r="Q581" t="s">
        <v>1793</v>
      </c>
      <c r="R581" t="str">
        <f t="shared" si="9"/>
        <v>Normal</v>
      </c>
    </row>
    <row r="582" spans="1:18" x14ac:dyDescent="0.3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  <c r="P582">
        <f>Table1_2[[#This Row],[Quantity]]*Table1_2[[#This Row],[UnitPrice]]</f>
        <v>511.98</v>
      </c>
      <c r="Q582" t="s">
        <v>1794</v>
      </c>
      <c r="R582" t="str">
        <f t="shared" si="9"/>
        <v>Normal</v>
      </c>
    </row>
    <row r="583" spans="1:18" x14ac:dyDescent="0.3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4303</v>
      </c>
      <c r="M583" t="s">
        <v>4279</v>
      </c>
      <c r="N583">
        <v>627.34</v>
      </c>
      <c r="P583">
        <f>Table1_2[[#This Row],[Quantity]]*Table1_2[[#This Row],[UnitPrice]]</f>
        <v>627.34</v>
      </c>
      <c r="Q583" t="s">
        <v>1795</v>
      </c>
      <c r="R583" t="str">
        <f t="shared" si="9"/>
        <v>Normal</v>
      </c>
    </row>
    <row r="584" spans="1:18" x14ac:dyDescent="0.3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  <c r="P584">
        <f>Table1_2[[#This Row],[Quantity]]*Table1_2[[#This Row],[UnitPrice]]</f>
        <v>1422.42</v>
      </c>
      <c r="Q584" t="s">
        <v>1796</v>
      </c>
      <c r="R584" t="str">
        <f t="shared" si="9"/>
        <v>Normal</v>
      </c>
    </row>
    <row r="585" spans="1:18" x14ac:dyDescent="0.3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4303</v>
      </c>
      <c r="M585" t="s">
        <v>4278</v>
      </c>
      <c r="N585">
        <v>463.11</v>
      </c>
      <c r="P585">
        <f>Table1_2[[#This Row],[Quantity]]*Table1_2[[#This Row],[UnitPrice]]</f>
        <v>463.11</v>
      </c>
      <c r="Q585" t="s">
        <v>1797</v>
      </c>
      <c r="R585" t="str">
        <f t="shared" si="9"/>
        <v>Normal</v>
      </c>
    </row>
    <row r="586" spans="1:18" x14ac:dyDescent="0.3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  <c r="P586">
        <f>Table1_2[[#This Row],[Quantity]]*Table1_2[[#This Row],[UnitPrice]]</f>
        <v>580.20000000000005</v>
      </c>
      <c r="Q586" t="s">
        <v>1798</v>
      </c>
      <c r="R586" t="str">
        <f t="shared" si="9"/>
        <v>Normal</v>
      </c>
    </row>
    <row r="587" spans="1:18" x14ac:dyDescent="0.3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  <c r="P587">
        <f>Table1_2[[#This Row],[Quantity]]*Table1_2[[#This Row],[UnitPrice]]</f>
        <v>268.32</v>
      </c>
      <c r="Q587" t="s">
        <v>1799</v>
      </c>
      <c r="R587" t="str">
        <f t="shared" si="9"/>
        <v>Normal</v>
      </c>
    </row>
    <row r="588" spans="1:18" x14ac:dyDescent="0.3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  <c r="P588">
        <f>Table1_2[[#This Row],[Quantity]]*Table1_2[[#This Row],[UnitPrice]]</f>
        <v>522.08000000000004</v>
      </c>
      <c r="Q588" t="s">
        <v>1800</v>
      </c>
      <c r="R588" t="str">
        <f t="shared" si="9"/>
        <v>Normal</v>
      </c>
    </row>
    <row r="589" spans="1:18" x14ac:dyDescent="0.3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  <c r="P589">
        <f>Table1_2[[#This Row],[Quantity]]*Table1_2[[#This Row],[UnitPrice]]</f>
        <v>2573</v>
      </c>
      <c r="Q589" t="s">
        <v>1801</v>
      </c>
      <c r="R589" t="str">
        <f t="shared" si="9"/>
        <v>Outlier</v>
      </c>
    </row>
    <row r="590" spans="1:18" x14ac:dyDescent="0.3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4303</v>
      </c>
      <c r="M590" t="s">
        <v>4282</v>
      </c>
      <c r="N590">
        <v>2311.2800000000002</v>
      </c>
      <c r="P590">
        <f>Table1_2[[#This Row],[Quantity]]*Table1_2[[#This Row],[UnitPrice]]</f>
        <v>2311.2800000000002</v>
      </c>
      <c r="Q590" t="s">
        <v>1802</v>
      </c>
      <c r="R590" t="str">
        <f t="shared" si="9"/>
        <v>Outlier</v>
      </c>
    </row>
    <row r="591" spans="1:18" x14ac:dyDescent="0.3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  <c r="P591">
        <f>Table1_2[[#This Row],[Quantity]]*Table1_2[[#This Row],[UnitPrice]]</f>
        <v>1001.6</v>
      </c>
      <c r="Q591" t="s">
        <v>1803</v>
      </c>
      <c r="R591" t="str">
        <f t="shared" si="9"/>
        <v>Normal</v>
      </c>
    </row>
    <row r="592" spans="1:18" x14ac:dyDescent="0.3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4303</v>
      </c>
      <c r="M592" t="s">
        <v>4280</v>
      </c>
      <c r="N592">
        <v>922.26</v>
      </c>
      <c r="P592">
        <f>Table1_2[[#This Row],[Quantity]]*Table1_2[[#This Row],[UnitPrice]]</f>
        <v>922.26</v>
      </c>
      <c r="Q592" t="s">
        <v>1804</v>
      </c>
      <c r="R592" t="str">
        <f t="shared" si="9"/>
        <v>Normal</v>
      </c>
    </row>
    <row r="593" spans="1:18" x14ac:dyDescent="0.3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  <c r="P593">
        <f>Table1_2[[#This Row],[Quantity]]*Table1_2[[#This Row],[UnitPrice]]</f>
        <v>605.28</v>
      </c>
      <c r="Q593" t="s">
        <v>1805</v>
      </c>
      <c r="R593" t="str">
        <f t="shared" si="9"/>
        <v>Normal</v>
      </c>
    </row>
    <row r="594" spans="1:18" x14ac:dyDescent="0.3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4303</v>
      </c>
      <c r="M594" t="s">
        <v>4282</v>
      </c>
      <c r="N594">
        <v>612.81000000000006</v>
      </c>
      <c r="P594">
        <f>Table1_2[[#This Row],[Quantity]]*Table1_2[[#This Row],[UnitPrice]]</f>
        <v>612.81000000000006</v>
      </c>
      <c r="Q594" t="s">
        <v>1806</v>
      </c>
      <c r="R594" t="str">
        <f t="shared" si="9"/>
        <v>Normal</v>
      </c>
    </row>
    <row r="595" spans="1:18" x14ac:dyDescent="0.3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  <c r="P595">
        <f>Table1_2[[#This Row],[Quantity]]*Table1_2[[#This Row],[UnitPrice]]</f>
        <v>489.8</v>
      </c>
      <c r="Q595" t="s">
        <v>1807</v>
      </c>
      <c r="R595" t="str">
        <f t="shared" si="9"/>
        <v>Normal</v>
      </c>
    </row>
    <row r="596" spans="1:18" x14ac:dyDescent="0.3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4303</v>
      </c>
      <c r="M596" t="s">
        <v>4280</v>
      </c>
      <c r="N596">
        <v>363.2</v>
      </c>
      <c r="P596">
        <f>Table1_2[[#This Row],[Quantity]]*Table1_2[[#This Row],[UnitPrice]]</f>
        <v>363.2</v>
      </c>
      <c r="Q596" t="s">
        <v>1808</v>
      </c>
      <c r="R596" t="str">
        <f t="shared" si="9"/>
        <v>Normal</v>
      </c>
    </row>
    <row r="597" spans="1:18" x14ac:dyDescent="0.3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  <c r="P597">
        <f>Table1_2[[#This Row],[Quantity]]*Table1_2[[#This Row],[UnitPrice]]</f>
        <v>770.32</v>
      </c>
      <c r="Q597" t="s">
        <v>1809</v>
      </c>
      <c r="R597" t="str">
        <f t="shared" si="9"/>
        <v>Normal</v>
      </c>
    </row>
    <row r="598" spans="1:18" x14ac:dyDescent="0.3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  <c r="P598">
        <f>Table1_2[[#This Row],[Quantity]]*Table1_2[[#This Row],[UnitPrice]]</f>
        <v>1819.23</v>
      </c>
      <c r="Q598" t="s">
        <v>1810</v>
      </c>
      <c r="R598" t="str">
        <f t="shared" si="9"/>
        <v>Normal</v>
      </c>
    </row>
    <row r="599" spans="1:18" x14ac:dyDescent="0.3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  <c r="P599">
        <f>Table1_2[[#This Row],[Quantity]]*Table1_2[[#This Row],[UnitPrice]]</f>
        <v>423.64</v>
      </c>
      <c r="Q599" t="s">
        <v>1811</v>
      </c>
      <c r="R599" t="str">
        <f t="shared" si="9"/>
        <v>Normal</v>
      </c>
    </row>
    <row r="600" spans="1:18" x14ac:dyDescent="0.3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4303</v>
      </c>
      <c r="M600" t="s">
        <v>4281</v>
      </c>
      <c r="N600">
        <v>2476.75</v>
      </c>
      <c r="P600">
        <f>Table1_2[[#This Row],[Quantity]]*Table1_2[[#This Row],[UnitPrice]]</f>
        <v>2476.75</v>
      </c>
      <c r="Q600" t="s">
        <v>1812</v>
      </c>
      <c r="R600" t="str">
        <f t="shared" si="9"/>
        <v>Outlier</v>
      </c>
    </row>
    <row r="601" spans="1:18" x14ac:dyDescent="0.3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  <c r="P601">
        <f>Table1_2[[#This Row],[Quantity]]*Table1_2[[#This Row],[UnitPrice]]</f>
        <v>1670.97</v>
      </c>
      <c r="Q601" t="s">
        <v>1813</v>
      </c>
      <c r="R601" t="str">
        <f t="shared" si="9"/>
        <v>Normal</v>
      </c>
    </row>
    <row r="602" spans="1:18" x14ac:dyDescent="0.3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  <c r="P602">
        <f>Table1_2[[#This Row],[Quantity]]*Table1_2[[#This Row],[UnitPrice]]</f>
        <v>72.31</v>
      </c>
      <c r="Q602" t="s">
        <v>1814</v>
      </c>
      <c r="R602" t="str">
        <f t="shared" si="9"/>
        <v>Normal</v>
      </c>
    </row>
    <row r="603" spans="1:18" x14ac:dyDescent="0.3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4303</v>
      </c>
      <c r="M603" t="s">
        <v>4279</v>
      </c>
      <c r="N603">
        <v>124.1</v>
      </c>
      <c r="P603">
        <f>Table1_2[[#This Row],[Quantity]]*Table1_2[[#This Row],[UnitPrice]]</f>
        <v>124.1</v>
      </c>
      <c r="Q603" t="s">
        <v>1815</v>
      </c>
      <c r="R603" t="str">
        <f t="shared" si="9"/>
        <v>Normal</v>
      </c>
    </row>
    <row r="604" spans="1:18" x14ac:dyDescent="0.3">
      <c r="A604" t="s">
        <v>616</v>
      </c>
      <c r="B604" s="3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  <c r="P604">
        <f>Table1_2[[#This Row],[Quantity]]*Table1_2[[#This Row],[UnitPrice]]</f>
        <v>104.16</v>
      </c>
      <c r="Q604" t="s">
        <v>1816</v>
      </c>
      <c r="R604" t="str">
        <f t="shared" si="9"/>
        <v>Normal</v>
      </c>
    </row>
    <row r="605" spans="1:18" x14ac:dyDescent="0.3">
      <c r="A605" t="s">
        <v>617</v>
      </c>
      <c r="B605" s="3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  <c r="P605">
        <f>Table1_2[[#This Row],[Quantity]]*Table1_2[[#This Row],[UnitPrice]]</f>
        <v>657.07</v>
      </c>
      <c r="Q605" t="s">
        <v>1817</v>
      </c>
      <c r="R605" t="str">
        <f t="shared" si="9"/>
        <v>Normal</v>
      </c>
    </row>
    <row r="606" spans="1:18" x14ac:dyDescent="0.3">
      <c r="A606" t="s">
        <v>618</v>
      </c>
      <c r="B606" s="3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4303</v>
      </c>
      <c r="M606" t="s">
        <v>4281</v>
      </c>
      <c r="N606">
        <v>97.859999999999985</v>
      </c>
      <c r="P606">
        <f>Table1_2[[#This Row],[Quantity]]*Table1_2[[#This Row],[UnitPrice]]</f>
        <v>97.859999999999985</v>
      </c>
      <c r="Q606" t="s">
        <v>1818</v>
      </c>
      <c r="R606" t="str">
        <f t="shared" si="9"/>
        <v>Normal</v>
      </c>
    </row>
    <row r="607" spans="1:18" x14ac:dyDescent="0.3">
      <c r="A607" t="s">
        <v>619</v>
      </c>
      <c r="B607" s="3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  <c r="P607">
        <f>Table1_2[[#This Row],[Quantity]]*Table1_2[[#This Row],[UnitPrice]]</f>
        <v>457.82</v>
      </c>
      <c r="Q607" t="s">
        <v>1819</v>
      </c>
      <c r="R607" t="str">
        <f t="shared" si="9"/>
        <v>Normal</v>
      </c>
    </row>
    <row r="608" spans="1:18" x14ac:dyDescent="0.3">
      <c r="A608" t="s">
        <v>620</v>
      </c>
      <c r="B608" s="3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  <c r="P608">
        <f>Table1_2[[#This Row],[Quantity]]*Table1_2[[#This Row],[UnitPrice]]</f>
        <v>824.25</v>
      </c>
      <c r="Q608" t="s">
        <v>1820</v>
      </c>
      <c r="R608" t="str">
        <f t="shared" si="9"/>
        <v>Normal</v>
      </c>
    </row>
    <row r="609" spans="1:18" x14ac:dyDescent="0.3">
      <c r="A609" t="s">
        <v>621</v>
      </c>
      <c r="B609" s="3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  <c r="P609">
        <f>Table1_2[[#This Row],[Quantity]]*Table1_2[[#This Row],[UnitPrice]]</f>
        <v>2536.1999999999998</v>
      </c>
      <c r="Q609" t="s">
        <v>1821</v>
      </c>
      <c r="R609" t="str">
        <f t="shared" si="9"/>
        <v>Outlier</v>
      </c>
    </row>
    <row r="610" spans="1:18" x14ac:dyDescent="0.3">
      <c r="A610" t="s">
        <v>622</v>
      </c>
      <c r="B610" s="3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  <c r="P610">
        <f>Table1_2[[#This Row],[Quantity]]*Table1_2[[#This Row],[UnitPrice]]</f>
        <v>2715.7999999999997</v>
      </c>
      <c r="Q610" t="s">
        <v>1822</v>
      </c>
      <c r="R610" t="str">
        <f t="shared" si="9"/>
        <v>Outlier</v>
      </c>
    </row>
    <row r="611" spans="1:18" x14ac:dyDescent="0.3">
      <c r="A611" t="s">
        <v>623</v>
      </c>
      <c r="B611" s="3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  <c r="P611">
        <f>Table1_2[[#This Row],[Quantity]]*Table1_2[[#This Row],[UnitPrice]]</f>
        <v>1347.3899999999999</v>
      </c>
      <c r="Q611" t="s">
        <v>1823</v>
      </c>
      <c r="R611" t="str">
        <f t="shared" si="9"/>
        <v>Normal</v>
      </c>
    </row>
    <row r="612" spans="1:18" x14ac:dyDescent="0.3">
      <c r="A612" t="s">
        <v>624</v>
      </c>
      <c r="B612" s="3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  <c r="P612">
        <f>Table1_2[[#This Row],[Quantity]]*Table1_2[[#This Row],[UnitPrice]]</f>
        <v>1948.1</v>
      </c>
      <c r="Q612" t="s">
        <v>1824</v>
      </c>
      <c r="R612" t="str">
        <f t="shared" si="9"/>
        <v>Normal</v>
      </c>
    </row>
    <row r="613" spans="1:18" x14ac:dyDescent="0.3">
      <c r="A613" t="s">
        <v>625</v>
      </c>
      <c r="B613" s="3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  <c r="P613">
        <f>Table1_2[[#This Row],[Quantity]]*Table1_2[[#This Row],[UnitPrice]]</f>
        <v>305.17</v>
      </c>
      <c r="Q613" t="s">
        <v>1825</v>
      </c>
      <c r="R613" t="str">
        <f t="shared" si="9"/>
        <v>Normal</v>
      </c>
    </row>
    <row r="614" spans="1:18" x14ac:dyDescent="0.3">
      <c r="A614" t="s">
        <v>626</v>
      </c>
      <c r="B614" s="3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4303</v>
      </c>
      <c r="M614" t="s">
        <v>4282</v>
      </c>
      <c r="N614">
        <v>1335.36</v>
      </c>
      <c r="P614">
        <f>Table1_2[[#This Row],[Quantity]]*Table1_2[[#This Row],[UnitPrice]]</f>
        <v>1335.3600000000001</v>
      </c>
      <c r="Q614" t="s">
        <v>1826</v>
      </c>
      <c r="R614" t="str">
        <f t="shared" si="9"/>
        <v>Normal</v>
      </c>
    </row>
    <row r="615" spans="1:18" x14ac:dyDescent="0.3">
      <c r="A615" t="s">
        <v>627</v>
      </c>
      <c r="B615" s="3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  <c r="P615">
        <f>Table1_2[[#This Row],[Quantity]]*Table1_2[[#This Row],[UnitPrice]]</f>
        <v>460.72</v>
      </c>
      <c r="Q615" t="s">
        <v>1827</v>
      </c>
      <c r="R615" t="str">
        <f t="shared" si="9"/>
        <v>Normal</v>
      </c>
    </row>
    <row r="616" spans="1:18" x14ac:dyDescent="0.3">
      <c r="A616" t="s">
        <v>628</v>
      </c>
      <c r="B616" s="3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4303</v>
      </c>
      <c r="M616" t="s">
        <v>4279</v>
      </c>
      <c r="N616">
        <v>96.81</v>
      </c>
      <c r="P616">
        <f>Table1_2[[#This Row],[Quantity]]*Table1_2[[#This Row],[UnitPrice]]</f>
        <v>96.81</v>
      </c>
      <c r="Q616" t="s">
        <v>1828</v>
      </c>
      <c r="R616" t="str">
        <f t="shared" si="9"/>
        <v>Normal</v>
      </c>
    </row>
    <row r="617" spans="1:18" x14ac:dyDescent="0.3">
      <c r="A617" t="s">
        <v>629</v>
      </c>
      <c r="B617" s="3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  <c r="P617">
        <f>Table1_2[[#This Row],[Quantity]]*Table1_2[[#This Row],[UnitPrice]]</f>
        <v>2300.6999999999998</v>
      </c>
      <c r="Q617" t="s">
        <v>1829</v>
      </c>
      <c r="R617" t="str">
        <f t="shared" si="9"/>
        <v>Outlier</v>
      </c>
    </row>
    <row r="618" spans="1:18" x14ac:dyDescent="0.3">
      <c r="A618" t="s">
        <v>630</v>
      </c>
      <c r="B618" s="3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  <c r="P618">
        <f>Table1_2[[#This Row],[Quantity]]*Table1_2[[#This Row],[UnitPrice]]</f>
        <v>1804.8000000000002</v>
      </c>
      <c r="Q618" t="s">
        <v>1830</v>
      </c>
      <c r="R618" t="str">
        <f t="shared" si="9"/>
        <v>Normal</v>
      </c>
    </row>
    <row r="619" spans="1:18" x14ac:dyDescent="0.3">
      <c r="A619" t="s">
        <v>631</v>
      </c>
      <c r="B619" s="3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4303</v>
      </c>
      <c r="M619" t="s">
        <v>4279</v>
      </c>
      <c r="N619">
        <v>553.41</v>
      </c>
      <c r="P619">
        <f>Table1_2[[#This Row],[Quantity]]*Table1_2[[#This Row],[UnitPrice]]</f>
        <v>553.41</v>
      </c>
      <c r="Q619" t="s">
        <v>1831</v>
      </c>
      <c r="R619" t="str">
        <f t="shared" si="9"/>
        <v>Normal</v>
      </c>
    </row>
    <row r="620" spans="1:18" x14ac:dyDescent="0.3">
      <c r="A620" t="s">
        <v>632</v>
      </c>
      <c r="B620" s="3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4303</v>
      </c>
      <c r="M620" t="s">
        <v>4278</v>
      </c>
      <c r="N620">
        <v>411.34</v>
      </c>
      <c r="P620">
        <f>Table1_2[[#This Row],[Quantity]]*Table1_2[[#This Row],[UnitPrice]]</f>
        <v>411.34</v>
      </c>
      <c r="Q620" t="s">
        <v>1832</v>
      </c>
      <c r="R620" t="str">
        <f t="shared" si="9"/>
        <v>Normal</v>
      </c>
    </row>
    <row r="621" spans="1:18" x14ac:dyDescent="0.3">
      <c r="A621" t="s">
        <v>633</v>
      </c>
      <c r="B621" s="3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4303</v>
      </c>
      <c r="M621" t="s">
        <v>4279</v>
      </c>
      <c r="N621">
        <v>532.89</v>
      </c>
      <c r="P621">
        <f>Table1_2[[#This Row],[Quantity]]*Table1_2[[#This Row],[UnitPrice]]</f>
        <v>532.89</v>
      </c>
      <c r="Q621" t="s">
        <v>1833</v>
      </c>
      <c r="R621" t="str">
        <f t="shared" si="9"/>
        <v>Normal</v>
      </c>
    </row>
    <row r="622" spans="1:18" x14ac:dyDescent="0.3">
      <c r="A622" t="s">
        <v>634</v>
      </c>
      <c r="B622" s="3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  <c r="P622">
        <f>Table1_2[[#This Row],[Quantity]]*Table1_2[[#This Row],[UnitPrice]]</f>
        <v>409.02</v>
      </c>
      <c r="Q622" t="s">
        <v>1834</v>
      </c>
      <c r="R622" t="str">
        <f t="shared" si="9"/>
        <v>Normal</v>
      </c>
    </row>
    <row r="623" spans="1:18" x14ac:dyDescent="0.3">
      <c r="A623" t="s">
        <v>635</v>
      </c>
      <c r="B623" s="3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  <c r="P623">
        <f>Table1_2[[#This Row],[Quantity]]*Table1_2[[#This Row],[UnitPrice]]</f>
        <v>2380.0500000000002</v>
      </c>
      <c r="Q623" t="s">
        <v>1835</v>
      </c>
      <c r="R623" t="str">
        <f t="shared" si="9"/>
        <v>Outlier</v>
      </c>
    </row>
    <row r="624" spans="1:18" x14ac:dyDescent="0.3">
      <c r="A624" t="s">
        <v>636</v>
      </c>
      <c r="B624" s="3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4303</v>
      </c>
      <c r="M624" t="s">
        <v>4281</v>
      </c>
      <c r="N624">
        <v>1181.9000000000001</v>
      </c>
      <c r="P624">
        <f>Table1_2[[#This Row],[Quantity]]*Table1_2[[#This Row],[UnitPrice]]</f>
        <v>1181.9000000000001</v>
      </c>
      <c r="Q624" t="s">
        <v>1836</v>
      </c>
      <c r="R624" t="str">
        <f t="shared" si="9"/>
        <v>Normal</v>
      </c>
    </row>
    <row r="625" spans="1:18" x14ac:dyDescent="0.3">
      <c r="A625" t="s">
        <v>637</v>
      </c>
      <c r="B625" s="3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  <c r="P625">
        <f>Table1_2[[#This Row],[Quantity]]*Table1_2[[#This Row],[UnitPrice]]</f>
        <v>1188</v>
      </c>
      <c r="Q625" t="s">
        <v>1837</v>
      </c>
      <c r="R625" t="str">
        <f t="shared" si="9"/>
        <v>Normal</v>
      </c>
    </row>
    <row r="626" spans="1:18" x14ac:dyDescent="0.3">
      <c r="A626" t="s">
        <v>638</v>
      </c>
      <c r="B626" s="3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4303</v>
      </c>
      <c r="M626" t="s">
        <v>4280</v>
      </c>
      <c r="N626">
        <v>1709.8</v>
      </c>
      <c r="P626">
        <f>Table1_2[[#This Row],[Quantity]]*Table1_2[[#This Row],[UnitPrice]]</f>
        <v>1709.8</v>
      </c>
      <c r="Q626" t="s">
        <v>1838</v>
      </c>
      <c r="R626" t="str">
        <f t="shared" si="9"/>
        <v>Normal</v>
      </c>
    </row>
    <row r="627" spans="1:18" x14ac:dyDescent="0.3">
      <c r="A627" t="s">
        <v>639</v>
      </c>
      <c r="B627" s="3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  <c r="P627">
        <f>Table1_2[[#This Row],[Quantity]]*Table1_2[[#This Row],[UnitPrice]]</f>
        <v>672.89</v>
      </c>
      <c r="Q627" t="s">
        <v>1839</v>
      </c>
      <c r="R627" t="str">
        <f t="shared" si="9"/>
        <v>Normal</v>
      </c>
    </row>
    <row r="628" spans="1:18" x14ac:dyDescent="0.3">
      <c r="A628" t="s">
        <v>640</v>
      </c>
      <c r="B628" s="3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  <c r="P628">
        <f>Table1_2[[#This Row],[Quantity]]*Table1_2[[#This Row],[UnitPrice]]</f>
        <v>1314.96</v>
      </c>
      <c r="Q628" t="s">
        <v>1840</v>
      </c>
      <c r="R628" t="str">
        <f t="shared" si="9"/>
        <v>Normal</v>
      </c>
    </row>
    <row r="629" spans="1:18" x14ac:dyDescent="0.3">
      <c r="A629" t="s">
        <v>641</v>
      </c>
      <c r="B629" s="3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  <c r="P629">
        <f>Table1_2[[#This Row],[Quantity]]*Table1_2[[#This Row],[UnitPrice]]</f>
        <v>1496.04</v>
      </c>
      <c r="Q629" t="s">
        <v>1841</v>
      </c>
      <c r="R629" t="str">
        <f t="shared" si="9"/>
        <v>Normal</v>
      </c>
    </row>
    <row r="630" spans="1:18" x14ac:dyDescent="0.3">
      <c r="A630" t="s">
        <v>642</v>
      </c>
      <c r="B630" s="3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  <c r="P630">
        <f>Table1_2[[#This Row],[Quantity]]*Table1_2[[#This Row],[UnitPrice]]</f>
        <v>2793.15</v>
      </c>
      <c r="Q630" t="s">
        <v>1842</v>
      </c>
      <c r="R630" t="str">
        <f t="shared" si="9"/>
        <v>Outlier</v>
      </c>
    </row>
    <row r="631" spans="1:18" x14ac:dyDescent="0.3">
      <c r="A631" t="s">
        <v>643</v>
      </c>
      <c r="B631" s="3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4303</v>
      </c>
      <c r="M631" t="s">
        <v>4279</v>
      </c>
      <c r="N631">
        <v>59.19</v>
      </c>
      <c r="P631">
        <f>Table1_2[[#This Row],[Quantity]]*Table1_2[[#This Row],[UnitPrice]]</f>
        <v>59.19</v>
      </c>
      <c r="Q631" t="s">
        <v>1843</v>
      </c>
      <c r="R631" t="str">
        <f t="shared" si="9"/>
        <v>Normal</v>
      </c>
    </row>
    <row r="632" spans="1:18" x14ac:dyDescent="0.3">
      <c r="A632" t="s">
        <v>644</v>
      </c>
      <c r="B632" s="3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4303</v>
      </c>
      <c r="M632" t="s">
        <v>4278</v>
      </c>
      <c r="N632">
        <v>1244.2</v>
      </c>
      <c r="P632">
        <f>Table1_2[[#This Row],[Quantity]]*Table1_2[[#This Row],[UnitPrice]]</f>
        <v>1244.2</v>
      </c>
      <c r="Q632" t="s">
        <v>1844</v>
      </c>
      <c r="R632" t="str">
        <f t="shared" si="9"/>
        <v>Normal</v>
      </c>
    </row>
    <row r="633" spans="1:18" x14ac:dyDescent="0.3">
      <c r="A633" t="s">
        <v>645</v>
      </c>
      <c r="B633" s="3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  <c r="P633">
        <f>Table1_2[[#This Row],[Quantity]]*Table1_2[[#This Row],[UnitPrice]]</f>
        <v>138.32999999999998</v>
      </c>
      <c r="Q633" t="s">
        <v>1845</v>
      </c>
      <c r="R633" t="str">
        <f t="shared" si="9"/>
        <v>Normal</v>
      </c>
    </row>
    <row r="634" spans="1:18" x14ac:dyDescent="0.3">
      <c r="A634" t="s">
        <v>646</v>
      </c>
      <c r="B634" s="3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  <c r="P634">
        <f>Table1_2[[#This Row],[Quantity]]*Table1_2[[#This Row],[UnitPrice]]</f>
        <v>3390.7999999999997</v>
      </c>
      <c r="Q634" t="s">
        <v>1846</v>
      </c>
      <c r="R634" t="str">
        <f t="shared" si="9"/>
        <v>Outlier</v>
      </c>
    </row>
    <row r="635" spans="1:18" x14ac:dyDescent="0.3">
      <c r="A635" t="s">
        <v>647</v>
      </c>
      <c r="B635" s="3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  <c r="P635">
        <f>Table1_2[[#This Row],[Quantity]]*Table1_2[[#This Row],[UnitPrice]]</f>
        <v>3008.6000000000004</v>
      </c>
      <c r="Q635" t="s">
        <v>1847</v>
      </c>
      <c r="R635" t="str">
        <f t="shared" si="9"/>
        <v>Outlier</v>
      </c>
    </row>
    <row r="636" spans="1:18" x14ac:dyDescent="0.3">
      <c r="A636" t="s">
        <v>648</v>
      </c>
      <c r="B636" s="3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  <c r="P636">
        <f>Table1_2[[#This Row],[Quantity]]*Table1_2[[#This Row],[UnitPrice]]</f>
        <v>518.64</v>
      </c>
      <c r="Q636" t="s">
        <v>1848</v>
      </c>
      <c r="R636" t="str">
        <f t="shared" si="9"/>
        <v>Normal</v>
      </c>
    </row>
    <row r="637" spans="1:18" x14ac:dyDescent="0.3">
      <c r="A637" t="s">
        <v>649</v>
      </c>
      <c r="B637" s="3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4303</v>
      </c>
      <c r="M637" t="s">
        <v>4281</v>
      </c>
      <c r="N637">
        <v>191.04</v>
      </c>
      <c r="P637">
        <f>Table1_2[[#This Row],[Quantity]]*Table1_2[[#This Row],[UnitPrice]]</f>
        <v>191.04</v>
      </c>
      <c r="Q637" t="s">
        <v>1849</v>
      </c>
      <c r="R637" t="str">
        <f t="shared" si="9"/>
        <v>Normal</v>
      </c>
    </row>
    <row r="638" spans="1:18" x14ac:dyDescent="0.3">
      <c r="A638" t="s">
        <v>650</v>
      </c>
      <c r="B638" s="3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  <c r="P638">
        <f>Table1_2[[#This Row],[Quantity]]*Table1_2[[#This Row],[UnitPrice]]</f>
        <v>1484.28</v>
      </c>
      <c r="Q638" t="s">
        <v>1850</v>
      </c>
      <c r="R638" t="str">
        <f t="shared" si="9"/>
        <v>Normal</v>
      </c>
    </row>
    <row r="639" spans="1:18" x14ac:dyDescent="0.3">
      <c r="A639" t="s">
        <v>651</v>
      </c>
      <c r="B639" s="3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  <c r="P639">
        <f>Table1_2[[#This Row],[Quantity]]*Table1_2[[#This Row],[UnitPrice]]</f>
        <v>1225.4000000000001</v>
      </c>
      <c r="Q639" t="s">
        <v>1851</v>
      </c>
      <c r="R639" t="str">
        <f t="shared" si="9"/>
        <v>Normal</v>
      </c>
    </row>
    <row r="640" spans="1:18" x14ac:dyDescent="0.3">
      <c r="A640" t="s">
        <v>652</v>
      </c>
      <c r="B640" s="3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  <c r="P640">
        <f>Table1_2[[#This Row],[Quantity]]*Table1_2[[#This Row],[UnitPrice]]</f>
        <v>2313.08</v>
      </c>
      <c r="Q640" t="s">
        <v>1852</v>
      </c>
      <c r="R640" t="str">
        <f t="shared" si="9"/>
        <v>Outlier</v>
      </c>
    </row>
    <row r="641" spans="1:18" x14ac:dyDescent="0.3">
      <c r="A641" t="s">
        <v>653</v>
      </c>
      <c r="B641" s="3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4303</v>
      </c>
      <c r="M641" t="s">
        <v>4279</v>
      </c>
      <c r="N641">
        <v>529.19000000000005</v>
      </c>
      <c r="P641">
        <f>Table1_2[[#This Row],[Quantity]]*Table1_2[[#This Row],[UnitPrice]]</f>
        <v>529.19000000000005</v>
      </c>
      <c r="Q641" t="s">
        <v>1853</v>
      </c>
      <c r="R641" t="str">
        <f t="shared" si="9"/>
        <v>Normal</v>
      </c>
    </row>
    <row r="642" spans="1:18" x14ac:dyDescent="0.3">
      <c r="A642" t="s">
        <v>654</v>
      </c>
      <c r="B642" s="3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  <c r="P642">
        <f>Table1_2[[#This Row],[Quantity]]*Table1_2[[#This Row],[UnitPrice]]</f>
        <v>1174.98</v>
      </c>
      <c r="Q642" t="s">
        <v>1854</v>
      </c>
      <c r="R642" t="str">
        <f t="shared" si="9"/>
        <v>Normal</v>
      </c>
    </row>
    <row r="643" spans="1:18" x14ac:dyDescent="0.3">
      <c r="A643" t="s">
        <v>655</v>
      </c>
      <c r="B643" s="3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  <c r="P643">
        <f>Table1_2[[#This Row],[Quantity]]*Table1_2[[#This Row],[UnitPrice]]</f>
        <v>2270.2800000000002</v>
      </c>
      <c r="Q643" t="s">
        <v>1855</v>
      </c>
      <c r="R643" t="str">
        <f t="shared" ref="R643:R706" si="10">IF(OR(N643&lt;$S$2-1.5*($T$2-$S$2),N643&gt;$S$2+1.5*($T$2-$S$2)), "Outlier", "Normal")</f>
        <v>Outlier</v>
      </c>
    </row>
    <row r="644" spans="1:18" x14ac:dyDescent="0.3">
      <c r="A644" t="s">
        <v>656</v>
      </c>
      <c r="B644" s="3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  <c r="P644">
        <f>Table1_2[[#This Row],[Quantity]]*Table1_2[[#This Row],[UnitPrice]]</f>
        <v>426.1</v>
      </c>
      <c r="Q644" t="s">
        <v>1856</v>
      </c>
      <c r="R644" t="str">
        <f t="shared" si="10"/>
        <v>Normal</v>
      </c>
    </row>
    <row r="645" spans="1:18" x14ac:dyDescent="0.3">
      <c r="A645" t="s">
        <v>657</v>
      </c>
      <c r="B645" s="3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  <c r="P645">
        <f>Table1_2[[#This Row],[Quantity]]*Table1_2[[#This Row],[UnitPrice]]</f>
        <v>438.37</v>
      </c>
      <c r="Q645" t="s">
        <v>1857</v>
      </c>
      <c r="R645" t="str">
        <f t="shared" si="10"/>
        <v>Normal</v>
      </c>
    </row>
    <row r="646" spans="1:18" x14ac:dyDescent="0.3">
      <c r="A646" t="s">
        <v>658</v>
      </c>
      <c r="B646" s="3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  <c r="P646">
        <f>Table1_2[[#This Row],[Quantity]]*Table1_2[[#This Row],[UnitPrice]]</f>
        <v>732.46</v>
      </c>
      <c r="Q646" t="s">
        <v>1858</v>
      </c>
      <c r="R646" t="str">
        <f t="shared" si="10"/>
        <v>Normal</v>
      </c>
    </row>
    <row r="647" spans="1:18" x14ac:dyDescent="0.3">
      <c r="A647" t="s">
        <v>659</v>
      </c>
      <c r="B647" s="3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  <c r="P647">
        <f>Table1_2[[#This Row],[Quantity]]*Table1_2[[#This Row],[UnitPrice]]</f>
        <v>300.10000000000002</v>
      </c>
      <c r="Q647" t="s">
        <v>1859</v>
      </c>
      <c r="R647" t="str">
        <f t="shared" si="10"/>
        <v>Normal</v>
      </c>
    </row>
    <row r="648" spans="1:18" x14ac:dyDescent="0.3">
      <c r="A648" t="s">
        <v>660</v>
      </c>
      <c r="B648" s="3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  <c r="P648">
        <f>Table1_2[[#This Row],[Quantity]]*Table1_2[[#This Row],[UnitPrice]]</f>
        <v>1994.04</v>
      </c>
      <c r="Q648" t="s">
        <v>1860</v>
      </c>
      <c r="R648" t="str">
        <f t="shared" si="10"/>
        <v>Normal</v>
      </c>
    </row>
    <row r="649" spans="1:18" x14ac:dyDescent="0.3">
      <c r="A649" t="s">
        <v>661</v>
      </c>
      <c r="B649" s="3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  <c r="P649">
        <f>Table1_2[[#This Row],[Quantity]]*Table1_2[[#This Row],[UnitPrice]]</f>
        <v>1018.17</v>
      </c>
      <c r="Q649" t="s">
        <v>1861</v>
      </c>
      <c r="R649" t="str">
        <f t="shared" si="10"/>
        <v>Normal</v>
      </c>
    </row>
    <row r="650" spans="1:18" x14ac:dyDescent="0.3">
      <c r="A650" t="s">
        <v>662</v>
      </c>
      <c r="B650" s="3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  <c r="P650">
        <f>Table1_2[[#This Row],[Quantity]]*Table1_2[[#This Row],[UnitPrice]]</f>
        <v>1151.6600000000001</v>
      </c>
      <c r="Q650" t="s">
        <v>1862</v>
      </c>
      <c r="R650" t="str">
        <f t="shared" si="10"/>
        <v>Normal</v>
      </c>
    </row>
    <row r="651" spans="1:18" x14ac:dyDescent="0.3">
      <c r="A651" t="s">
        <v>663</v>
      </c>
      <c r="B651" s="3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  <c r="P651">
        <f>Table1_2[[#This Row],[Quantity]]*Table1_2[[#This Row],[UnitPrice]]</f>
        <v>1285.96</v>
      </c>
      <c r="Q651" t="s">
        <v>1863</v>
      </c>
      <c r="R651" t="str">
        <f t="shared" si="10"/>
        <v>Normal</v>
      </c>
    </row>
    <row r="652" spans="1:18" x14ac:dyDescent="0.3">
      <c r="A652" t="s">
        <v>664</v>
      </c>
      <c r="B652" s="3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  <c r="P652">
        <f>Table1_2[[#This Row],[Quantity]]*Table1_2[[#This Row],[UnitPrice]]</f>
        <v>744.46</v>
      </c>
      <c r="Q652" t="s">
        <v>1864</v>
      </c>
      <c r="R652" t="str">
        <f t="shared" si="10"/>
        <v>Normal</v>
      </c>
    </row>
    <row r="653" spans="1:18" x14ac:dyDescent="0.3">
      <c r="A653" t="s">
        <v>665</v>
      </c>
      <c r="B653" s="3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4303</v>
      </c>
      <c r="M653" t="s">
        <v>4282</v>
      </c>
      <c r="N653">
        <v>1939.02</v>
      </c>
      <c r="P653">
        <f>Table1_2[[#This Row],[Quantity]]*Table1_2[[#This Row],[UnitPrice]]</f>
        <v>1939.02</v>
      </c>
      <c r="Q653" t="s">
        <v>1865</v>
      </c>
      <c r="R653" t="str">
        <f t="shared" si="10"/>
        <v>Normal</v>
      </c>
    </row>
    <row r="654" spans="1:18" x14ac:dyDescent="0.3">
      <c r="A654" t="s">
        <v>666</v>
      </c>
      <c r="B654" s="3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  <c r="P654">
        <f>Table1_2[[#This Row],[Quantity]]*Table1_2[[#This Row],[UnitPrice]]</f>
        <v>1709.1999999999998</v>
      </c>
      <c r="Q654" t="s">
        <v>1866</v>
      </c>
      <c r="R654" t="str">
        <f t="shared" si="10"/>
        <v>Normal</v>
      </c>
    </row>
    <row r="655" spans="1:18" x14ac:dyDescent="0.3">
      <c r="A655" t="s">
        <v>667</v>
      </c>
      <c r="B655" s="3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  <c r="P655">
        <f>Table1_2[[#This Row],[Quantity]]*Table1_2[[#This Row],[UnitPrice]]</f>
        <v>2070.8999999999996</v>
      </c>
      <c r="Q655" t="s">
        <v>1867</v>
      </c>
      <c r="R655" t="str">
        <f t="shared" si="10"/>
        <v>Normal</v>
      </c>
    </row>
    <row r="656" spans="1:18" x14ac:dyDescent="0.3">
      <c r="A656" t="s">
        <v>668</v>
      </c>
      <c r="B656" s="3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4303</v>
      </c>
      <c r="M656" t="s">
        <v>4278</v>
      </c>
      <c r="N656">
        <v>1147.1099999999999</v>
      </c>
      <c r="P656">
        <f>Table1_2[[#This Row],[Quantity]]*Table1_2[[#This Row],[UnitPrice]]</f>
        <v>1147.1100000000001</v>
      </c>
      <c r="Q656" t="s">
        <v>1868</v>
      </c>
      <c r="R656" t="str">
        <f t="shared" si="10"/>
        <v>Normal</v>
      </c>
    </row>
    <row r="657" spans="1:18" x14ac:dyDescent="0.3">
      <c r="A657" t="s">
        <v>669</v>
      </c>
      <c r="B657" s="3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  <c r="P657">
        <f>Table1_2[[#This Row],[Quantity]]*Table1_2[[#This Row],[UnitPrice]]</f>
        <v>265.2</v>
      </c>
      <c r="Q657" t="s">
        <v>1869</v>
      </c>
      <c r="R657" t="str">
        <f t="shared" si="10"/>
        <v>Normal</v>
      </c>
    </row>
    <row r="658" spans="1:18" x14ac:dyDescent="0.3">
      <c r="A658" t="s">
        <v>670</v>
      </c>
      <c r="B658" s="3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  <c r="P658">
        <f>Table1_2[[#This Row],[Quantity]]*Table1_2[[#This Row],[UnitPrice]]</f>
        <v>378.12</v>
      </c>
      <c r="Q658" t="s">
        <v>1870</v>
      </c>
      <c r="R658" t="str">
        <f t="shared" si="10"/>
        <v>Normal</v>
      </c>
    </row>
    <row r="659" spans="1:18" x14ac:dyDescent="0.3">
      <c r="A659" t="s">
        <v>671</v>
      </c>
      <c r="B659" s="3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  <c r="P659">
        <f>Table1_2[[#This Row],[Quantity]]*Table1_2[[#This Row],[UnitPrice]]</f>
        <v>351.16</v>
      </c>
      <c r="Q659" t="s">
        <v>1871</v>
      </c>
      <c r="R659" t="str">
        <f t="shared" si="10"/>
        <v>Normal</v>
      </c>
    </row>
    <row r="660" spans="1:18" x14ac:dyDescent="0.3">
      <c r="A660" t="s">
        <v>672</v>
      </c>
      <c r="B660" s="3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  <c r="P660">
        <f>Table1_2[[#This Row],[Quantity]]*Table1_2[[#This Row],[UnitPrice]]</f>
        <v>92.72</v>
      </c>
      <c r="Q660" t="s">
        <v>1872</v>
      </c>
      <c r="R660" t="str">
        <f t="shared" si="10"/>
        <v>Normal</v>
      </c>
    </row>
    <row r="661" spans="1:18" x14ac:dyDescent="0.3">
      <c r="A661" t="s">
        <v>673</v>
      </c>
      <c r="B661" s="3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  <c r="P661">
        <f>Table1_2[[#This Row],[Quantity]]*Table1_2[[#This Row],[UnitPrice]]</f>
        <v>1284.08</v>
      </c>
      <c r="Q661" t="s">
        <v>1873</v>
      </c>
      <c r="R661" t="str">
        <f t="shared" si="10"/>
        <v>Normal</v>
      </c>
    </row>
    <row r="662" spans="1:18" x14ac:dyDescent="0.3">
      <c r="A662" t="s">
        <v>674</v>
      </c>
      <c r="B662" s="3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  <c r="P662">
        <f>Table1_2[[#This Row],[Quantity]]*Table1_2[[#This Row],[UnitPrice]]</f>
        <v>1303.1400000000001</v>
      </c>
      <c r="Q662" t="s">
        <v>1874</v>
      </c>
      <c r="R662" t="str">
        <f t="shared" si="10"/>
        <v>Normal</v>
      </c>
    </row>
    <row r="663" spans="1:18" x14ac:dyDescent="0.3">
      <c r="A663" t="s">
        <v>675</v>
      </c>
      <c r="B663" s="3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  <c r="P663">
        <f>Table1_2[[#This Row],[Quantity]]*Table1_2[[#This Row],[UnitPrice]]</f>
        <v>1274.67</v>
      </c>
      <c r="Q663" t="s">
        <v>1875</v>
      </c>
      <c r="R663" t="str">
        <f t="shared" si="10"/>
        <v>Normal</v>
      </c>
    </row>
    <row r="664" spans="1:18" x14ac:dyDescent="0.3">
      <c r="A664" t="s">
        <v>676</v>
      </c>
      <c r="B664" s="3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4303</v>
      </c>
      <c r="M664" t="s">
        <v>4281</v>
      </c>
      <c r="N664">
        <v>1316.67</v>
      </c>
      <c r="P664">
        <f>Table1_2[[#This Row],[Quantity]]*Table1_2[[#This Row],[UnitPrice]]</f>
        <v>1316.67</v>
      </c>
      <c r="Q664" t="s">
        <v>1876</v>
      </c>
      <c r="R664" t="str">
        <f t="shared" si="10"/>
        <v>Normal</v>
      </c>
    </row>
    <row r="665" spans="1:18" x14ac:dyDescent="0.3">
      <c r="A665" t="s">
        <v>677</v>
      </c>
      <c r="B665" s="3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  <c r="P665">
        <f>Table1_2[[#This Row],[Quantity]]*Table1_2[[#This Row],[UnitPrice]]</f>
        <v>72.599999999999994</v>
      </c>
      <c r="Q665" t="s">
        <v>1877</v>
      </c>
      <c r="R665" t="str">
        <f t="shared" si="10"/>
        <v>Normal</v>
      </c>
    </row>
    <row r="666" spans="1:18" x14ac:dyDescent="0.3">
      <c r="A666" t="s">
        <v>678</v>
      </c>
      <c r="B666" s="3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4303</v>
      </c>
      <c r="M666" t="s">
        <v>4281</v>
      </c>
      <c r="N666">
        <v>779</v>
      </c>
      <c r="P666">
        <f>Table1_2[[#This Row],[Quantity]]*Table1_2[[#This Row],[UnitPrice]]</f>
        <v>779</v>
      </c>
      <c r="Q666" t="s">
        <v>1878</v>
      </c>
      <c r="R666" t="str">
        <f t="shared" si="10"/>
        <v>Normal</v>
      </c>
    </row>
    <row r="667" spans="1:18" x14ac:dyDescent="0.3">
      <c r="A667" t="s">
        <v>679</v>
      </c>
      <c r="B667" s="3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  <c r="P667">
        <f>Table1_2[[#This Row],[Quantity]]*Table1_2[[#This Row],[UnitPrice]]</f>
        <v>925.04</v>
      </c>
      <c r="Q667" t="s">
        <v>1879</v>
      </c>
      <c r="R667" t="str">
        <f t="shared" si="10"/>
        <v>Normal</v>
      </c>
    </row>
    <row r="668" spans="1:18" x14ac:dyDescent="0.3">
      <c r="A668" t="s">
        <v>680</v>
      </c>
      <c r="B668" s="3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4303</v>
      </c>
      <c r="M668" t="s">
        <v>4280</v>
      </c>
      <c r="N668">
        <v>1308.48</v>
      </c>
      <c r="P668">
        <f>Table1_2[[#This Row],[Quantity]]*Table1_2[[#This Row],[UnitPrice]]</f>
        <v>1308.48</v>
      </c>
      <c r="Q668" t="s">
        <v>1880</v>
      </c>
      <c r="R668" t="str">
        <f t="shared" si="10"/>
        <v>Normal</v>
      </c>
    </row>
    <row r="669" spans="1:18" x14ac:dyDescent="0.3">
      <c r="A669" t="s">
        <v>681</v>
      </c>
      <c r="B669" s="3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  <c r="P669">
        <f>Table1_2[[#This Row],[Quantity]]*Table1_2[[#This Row],[UnitPrice]]</f>
        <v>466.42</v>
      </c>
      <c r="Q669" t="s">
        <v>1881</v>
      </c>
      <c r="R669" t="str">
        <f t="shared" si="10"/>
        <v>Normal</v>
      </c>
    </row>
    <row r="670" spans="1:18" x14ac:dyDescent="0.3">
      <c r="A670" t="s">
        <v>682</v>
      </c>
      <c r="B670" s="3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  <c r="P670">
        <f>Table1_2[[#This Row],[Quantity]]*Table1_2[[#This Row],[UnitPrice]]</f>
        <v>507.34</v>
      </c>
      <c r="Q670" t="s">
        <v>1882</v>
      </c>
      <c r="R670" t="str">
        <f t="shared" si="10"/>
        <v>Normal</v>
      </c>
    </row>
    <row r="671" spans="1:18" x14ac:dyDescent="0.3">
      <c r="A671" t="s">
        <v>683</v>
      </c>
      <c r="B671" s="3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4303</v>
      </c>
      <c r="M671" t="s">
        <v>4279</v>
      </c>
      <c r="N671">
        <v>257</v>
      </c>
      <c r="P671">
        <f>Table1_2[[#This Row],[Quantity]]*Table1_2[[#This Row],[UnitPrice]]</f>
        <v>257</v>
      </c>
      <c r="Q671" t="s">
        <v>1883</v>
      </c>
      <c r="R671" t="str">
        <f t="shared" si="10"/>
        <v>Normal</v>
      </c>
    </row>
    <row r="672" spans="1:18" x14ac:dyDescent="0.3">
      <c r="A672" t="s">
        <v>684</v>
      </c>
      <c r="B672" s="3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  <c r="P672">
        <f>Table1_2[[#This Row],[Quantity]]*Table1_2[[#This Row],[UnitPrice]]</f>
        <v>2156.8000000000002</v>
      </c>
      <c r="Q672" t="s">
        <v>1884</v>
      </c>
      <c r="R672" t="str">
        <f t="shared" si="10"/>
        <v>Normal</v>
      </c>
    </row>
    <row r="673" spans="1:18" x14ac:dyDescent="0.3">
      <c r="A673" t="s">
        <v>685</v>
      </c>
      <c r="B673" s="3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  <c r="P673">
        <f>Table1_2[[#This Row],[Quantity]]*Table1_2[[#This Row],[UnitPrice]]</f>
        <v>253.70000000000002</v>
      </c>
      <c r="Q673" t="s">
        <v>1885</v>
      </c>
      <c r="R673" t="str">
        <f t="shared" si="10"/>
        <v>Normal</v>
      </c>
    </row>
    <row r="674" spans="1:18" x14ac:dyDescent="0.3">
      <c r="A674" t="s">
        <v>686</v>
      </c>
      <c r="B674" s="3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  <c r="P674">
        <f>Table1_2[[#This Row],[Quantity]]*Table1_2[[#This Row],[UnitPrice]]</f>
        <v>1248.32</v>
      </c>
      <c r="Q674" t="s">
        <v>1886</v>
      </c>
      <c r="R674" t="str">
        <f t="shared" si="10"/>
        <v>Normal</v>
      </c>
    </row>
    <row r="675" spans="1:18" x14ac:dyDescent="0.3">
      <c r="A675" t="s">
        <v>687</v>
      </c>
      <c r="B675" s="3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  <c r="P675">
        <f>Table1_2[[#This Row],[Quantity]]*Table1_2[[#This Row],[UnitPrice]]</f>
        <v>745.84</v>
      </c>
      <c r="Q675" t="s">
        <v>1887</v>
      </c>
      <c r="R675" t="str">
        <f t="shared" si="10"/>
        <v>Normal</v>
      </c>
    </row>
    <row r="676" spans="1:18" x14ac:dyDescent="0.3">
      <c r="A676" t="s">
        <v>688</v>
      </c>
      <c r="B676" s="3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  <c r="P676">
        <f>Table1_2[[#This Row],[Quantity]]*Table1_2[[#This Row],[UnitPrice]]</f>
        <v>1435</v>
      </c>
      <c r="Q676" t="s">
        <v>1888</v>
      </c>
      <c r="R676" t="str">
        <f t="shared" si="10"/>
        <v>Normal</v>
      </c>
    </row>
    <row r="677" spans="1:18" x14ac:dyDescent="0.3">
      <c r="A677" t="s">
        <v>689</v>
      </c>
      <c r="B677" s="3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4303</v>
      </c>
      <c r="M677" t="s">
        <v>4280</v>
      </c>
      <c r="N677">
        <v>1026.06</v>
      </c>
      <c r="P677">
        <f>Table1_2[[#This Row],[Quantity]]*Table1_2[[#This Row],[UnitPrice]]</f>
        <v>1026.06</v>
      </c>
      <c r="Q677" t="s">
        <v>1889</v>
      </c>
      <c r="R677" t="str">
        <f t="shared" si="10"/>
        <v>Normal</v>
      </c>
    </row>
    <row r="678" spans="1:18" x14ac:dyDescent="0.3">
      <c r="A678" t="s">
        <v>690</v>
      </c>
      <c r="B678" s="3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  <c r="P678">
        <f>Table1_2[[#This Row],[Quantity]]*Table1_2[[#This Row],[UnitPrice]]</f>
        <v>844.68</v>
      </c>
      <c r="Q678" t="s">
        <v>1890</v>
      </c>
      <c r="R678" t="str">
        <f t="shared" si="10"/>
        <v>Normal</v>
      </c>
    </row>
    <row r="679" spans="1:18" x14ac:dyDescent="0.3">
      <c r="A679" t="s">
        <v>691</v>
      </c>
      <c r="B679" s="3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  <c r="P679">
        <f>Table1_2[[#This Row],[Quantity]]*Table1_2[[#This Row],[UnitPrice]]</f>
        <v>110.35</v>
      </c>
      <c r="Q679" t="s">
        <v>1891</v>
      </c>
      <c r="R679" t="str">
        <f t="shared" si="10"/>
        <v>Normal</v>
      </c>
    </row>
    <row r="680" spans="1:18" x14ac:dyDescent="0.3">
      <c r="A680" t="s">
        <v>692</v>
      </c>
      <c r="B680" s="3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  <c r="P680">
        <f>Table1_2[[#This Row],[Quantity]]*Table1_2[[#This Row],[UnitPrice]]</f>
        <v>489.39</v>
      </c>
      <c r="Q680" t="s">
        <v>1892</v>
      </c>
      <c r="R680" t="str">
        <f t="shared" si="10"/>
        <v>Normal</v>
      </c>
    </row>
    <row r="681" spans="1:18" x14ac:dyDescent="0.3">
      <c r="A681" t="s">
        <v>693</v>
      </c>
      <c r="B681" s="3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  <c r="P681">
        <f>Table1_2[[#This Row],[Quantity]]*Table1_2[[#This Row],[UnitPrice]]</f>
        <v>1081.98</v>
      </c>
      <c r="Q681" t="s">
        <v>1893</v>
      </c>
      <c r="R681" t="str">
        <f t="shared" si="10"/>
        <v>Normal</v>
      </c>
    </row>
    <row r="682" spans="1:18" x14ac:dyDescent="0.3">
      <c r="A682" t="s">
        <v>694</v>
      </c>
      <c r="B682" s="3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4303</v>
      </c>
      <c r="M682" t="s">
        <v>4281</v>
      </c>
      <c r="N682">
        <v>1390.17</v>
      </c>
      <c r="P682">
        <f>Table1_2[[#This Row],[Quantity]]*Table1_2[[#This Row],[UnitPrice]]</f>
        <v>1390.17</v>
      </c>
      <c r="Q682" t="s">
        <v>1894</v>
      </c>
      <c r="R682" t="str">
        <f t="shared" si="10"/>
        <v>Normal</v>
      </c>
    </row>
    <row r="683" spans="1:18" x14ac:dyDescent="0.3">
      <c r="A683" t="s">
        <v>695</v>
      </c>
      <c r="B683" s="3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4303</v>
      </c>
      <c r="M683" t="s">
        <v>4280</v>
      </c>
      <c r="N683">
        <v>155.27000000000001</v>
      </c>
      <c r="P683">
        <f>Table1_2[[#This Row],[Quantity]]*Table1_2[[#This Row],[UnitPrice]]</f>
        <v>155.27000000000001</v>
      </c>
      <c r="Q683" t="s">
        <v>1895</v>
      </c>
      <c r="R683" t="str">
        <f t="shared" si="10"/>
        <v>Normal</v>
      </c>
    </row>
    <row r="684" spans="1:18" x14ac:dyDescent="0.3">
      <c r="A684" t="s">
        <v>696</v>
      </c>
      <c r="B684" s="3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  <c r="P684">
        <f>Table1_2[[#This Row],[Quantity]]*Table1_2[[#This Row],[UnitPrice]]</f>
        <v>1528.26</v>
      </c>
      <c r="Q684" t="s">
        <v>1896</v>
      </c>
      <c r="R684" t="str">
        <f t="shared" si="10"/>
        <v>Normal</v>
      </c>
    </row>
    <row r="685" spans="1:18" x14ac:dyDescent="0.3">
      <c r="A685" t="s">
        <v>697</v>
      </c>
      <c r="B685" s="3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  <c r="P685">
        <f>Table1_2[[#This Row],[Quantity]]*Table1_2[[#This Row],[UnitPrice]]</f>
        <v>2609.92</v>
      </c>
      <c r="Q685" t="s">
        <v>1897</v>
      </c>
      <c r="R685" t="str">
        <f t="shared" si="10"/>
        <v>Outlier</v>
      </c>
    </row>
    <row r="686" spans="1:18" x14ac:dyDescent="0.3">
      <c r="A686" t="s">
        <v>698</v>
      </c>
      <c r="B686" s="3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4303</v>
      </c>
      <c r="M686" t="s">
        <v>4280</v>
      </c>
      <c r="N686">
        <v>139.36000000000001</v>
      </c>
      <c r="P686">
        <f>Table1_2[[#This Row],[Quantity]]*Table1_2[[#This Row],[UnitPrice]]</f>
        <v>139.36000000000001</v>
      </c>
      <c r="Q686" t="s">
        <v>1898</v>
      </c>
      <c r="R686" t="str">
        <f t="shared" si="10"/>
        <v>Normal</v>
      </c>
    </row>
    <row r="687" spans="1:18" x14ac:dyDescent="0.3">
      <c r="A687" t="s">
        <v>699</v>
      </c>
      <c r="B687" s="3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  <c r="P687">
        <f>Table1_2[[#This Row],[Quantity]]*Table1_2[[#This Row],[UnitPrice]]</f>
        <v>234.37</v>
      </c>
      <c r="Q687" t="s">
        <v>1899</v>
      </c>
      <c r="R687" t="str">
        <f t="shared" si="10"/>
        <v>Normal</v>
      </c>
    </row>
    <row r="688" spans="1:18" x14ac:dyDescent="0.3">
      <c r="A688" t="s">
        <v>700</v>
      </c>
      <c r="B688" s="3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  <c r="P688">
        <f>Table1_2[[#This Row],[Quantity]]*Table1_2[[#This Row],[UnitPrice]]</f>
        <v>160.80000000000001</v>
      </c>
      <c r="Q688" t="s">
        <v>1900</v>
      </c>
      <c r="R688" t="str">
        <f t="shared" si="10"/>
        <v>Normal</v>
      </c>
    </row>
    <row r="689" spans="1:18" x14ac:dyDescent="0.3">
      <c r="A689" t="s">
        <v>701</v>
      </c>
      <c r="B689" s="3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  <c r="P689">
        <f>Table1_2[[#This Row],[Quantity]]*Table1_2[[#This Row],[UnitPrice]]</f>
        <v>332.09</v>
      </c>
      <c r="Q689" t="s">
        <v>1901</v>
      </c>
      <c r="R689" t="str">
        <f t="shared" si="10"/>
        <v>Normal</v>
      </c>
    </row>
    <row r="690" spans="1:18" x14ac:dyDescent="0.3">
      <c r="A690" t="s">
        <v>702</v>
      </c>
      <c r="B690" s="3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  <c r="P690">
        <f>Table1_2[[#This Row],[Quantity]]*Table1_2[[#This Row],[UnitPrice]]</f>
        <v>2372.88</v>
      </c>
      <c r="Q690" t="s">
        <v>1902</v>
      </c>
      <c r="R690" t="str">
        <f t="shared" si="10"/>
        <v>Outlier</v>
      </c>
    </row>
    <row r="691" spans="1:18" x14ac:dyDescent="0.3">
      <c r="A691" t="s">
        <v>703</v>
      </c>
      <c r="B691" s="3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4303</v>
      </c>
      <c r="M691" t="s">
        <v>4281</v>
      </c>
      <c r="N691">
        <v>889.68</v>
      </c>
      <c r="P691">
        <f>Table1_2[[#This Row],[Quantity]]*Table1_2[[#This Row],[UnitPrice]]</f>
        <v>889.68</v>
      </c>
      <c r="Q691" t="s">
        <v>1903</v>
      </c>
      <c r="R691" t="str">
        <f t="shared" si="10"/>
        <v>Normal</v>
      </c>
    </row>
    <row r="692" spans="1:18" x14ac:dyDescent="0.3">
      <c r="A692" t="s">
        <v>704</v>
      </c>
      <c r="B692" s="3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4303</v>
      </c>
      <c r="M692" t="s">
        <v>4278</v>
      </c>
      <c r="N692">
        <v>24.48</v>
      </c>
      <c r="P692">
        <f>Table1_2[[#This Row],[Quantity]]*Table1_2[[#This Row],[UnitPrice]]</f>
        <v>24.48</v>
      </c>
      <c r="Q692" t="s">
        <v>1904</v>
      </c>
      <c r="R692" t="str">
        <f t="shared" si="10"/>
        <v>Normal</v>
      </c>
    </row>
    <row r="693" spans="1:18" x14ac:dyDescent="0.3">
      <c r="A693" t="s">
        <v>705</v>
      </c>
      <c r="B693" s="3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4303</v>
      </c>
      <c r="M693" t="s">
        <v>4282</v>
      </c>
      <c r="N693">
        <v>717.24</v>
      </c>
      <c r="P693">
        <f>Table1_2[[#This Row],[Quantity]]*Table1_2[[#This Row],[UnitPrice]]</f>
        <v>717.24</v>
      </c>
      <c r="Q693" t="s">
        <v>1905</v>
      </c>
      <c r="R693" t="str">
        <f t="shared" si="10"/>
        <v>Normal</v>
      </c>
    </row>
    <row r="694" spans="1:18" x14ac:dyDescent="0.3">
      <c r="A694" t="s">
        <v>706</v>
      </c>
      <c r="B694" s="3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  <c r="P694">
        <f>Table1_2[[#This Row],[Quantity]]*Table1_2[[#This Row],[UnitPrice]]</f>
        <v>984.2</v>
      </c>
      <c r="Q694" t="s">
        <v>1906</v>
      </c>
      <c r="R694" t="str">
        <f t="shared" si="10"/>
        <v>Normal</v>
      </c>
    </row>
    <row r="695" spans="1:18" x14ac:dyDescent="0.3">
      <c r="A695" t="s">
        <v>707</v>
      </c>
      <c r="B695" s="3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4303</v>
      </c>
      <c r="M695" t="s">
        <v>4279</v>
      </c>
      <c r="N695">
        <v>176.58</v>
      </c>
      <c r="P695">
        <f>Table1_2[[#This Row],[Quantity]]*Table1_2[[#This Row],[UnitPrice]]</f>
        <v>176.58</v>
      </c>
      <c r="Q695" t="s">
        <v>1907</v>
      </c>
      <c r="R695" t="str">
        <f t="shared" si="10"/>
        <v>Normal</v>
      </c>
    </row>
    <row r="696" spans="1:18" x14ac:dyDescent="0.3">
      <c r="A696" t="s">
        <v>708</v>
      </c>
      <c r="B696" s="3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  <c r="P696">
        <f>Table1_2[[#This Row],[Quantity]]*Table1_2[[#This Row],[UnitPrice]]</f>
        <v>2666.08</v>
      </c>
      <c r="Q696" t="s">
        <v>1908</v>
      </c>
      <c r="R696" t="str">
        <f t="shared" si="10"/>
        <v>Outlier</v>
      </c>
    </row>
    <row r="697" spans="1:18" x14ac:dyDescent="0.3">
      <c r="A697" t="s">
        <v>709</v>
      </c>
      <c r="B697" s="3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  <c r="P697">
        <f>Table1_2[[#This Row],[Quantity]]*Table1_2[[#This Row],[UnitPrice]]</f>
        <v>506.5</v>
      </c>
      <c r="Q697" t="s">
        <v>1909</v>
      </c>
      <c r="R697" t="str">
        <f t="shared" si="10"/>
        <v>Normal</v>
      </c>
    </row>
    <row r="698" spans="1:18" x14ac:dyDescent="0.3">
      <c r="A698" t="s">
        <v>710</v>
      </c>
      <c r="B698" s="3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  <c r="P698">
        <f>Table1_2[[#This Row],[Quantity]]*Table1_2[[#This Row],[UnitPrice]]</f>
        <v>604.79999999999995</v>
      </c>
      <c r="Q698" t="s">
        <v>1910</v>
      </c>
      <c r="R698" t="str">
        <f t="shared" si="10"/>
        <v>Normal</v>
      </c>
    </row>
    <row r="699" spans="1:18" x14ac:dyDescent="0.3">
      <c r="A699" t="s">
        <v>711</v>
      </c>
      <c r="B699" s="3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  <c r="P699">
        <f>Table1_2[[#This Row],[Quantity]]*Table1_2[[#This Row],[UnitPrice]]</f>
        <v>474.25</v>
      </c>
      <c r="Q699" t="s">
        <v>1911</v>
      </c>
      <c r="R699" t="str">
        <f t="shared" si="10"/>
        <v>Normal</v>
      </c>
    </row>
    <row r="700" spans="1:18" x14ac:dyDescent="0.3">
      <c r="A700" t="s">
        <v>712</v>
      </c>
      <c r="B700" s="3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  <c r="P700">
        <f>Table1_2[[#This Row],[Quantity]]*Table1_2[[#This Row],[UnitPrice]]</f>
        <v>776.44</v>
      </c>
      <c r="Q700" t="s">
        <v>1912</v>
      </c>
      <c r="R700" t="str">
        <f t="shared" si="10"/>
        <v>Normal</v>
      </c>
    </row>
    <row r="701" spans="1:18" x14ac:dyDescent="0.3">
      <c r="A701" t="s">
        <v>713</v>
      </c>
      <c r="B701" s="3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4303</v>
      </c>
      <c r="M701" t="s">
        <v>4281</v>
      </c>
      <c r="N701">
        <v>1842.45</v>
      </c>
      <c r="P701">
        <f>Table1_2[[#This Row],[Quantity]]*Table1_2[[#This Row],[UnitPrice]]</f>
        <v>1842.4499999999998</v>
      </c>
      <c r="Q701" t="s">
        <v>1913</v>
      </c>
      <c r="R701" t="str">
        <f t="shared" si="10"/>
        <v>Normal</v>
      </c>
    </row>
    <row r="702" spans="1:18" x14ac:dyDescent="0.3">
      <c r="A702" t="s">
        <v>714</v>
      </c>
      <c r="B702" s="3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  <c r="P702">
        <f>Table1_2[[#This Row],[Quantity]]*Table1_2[[#This Row],[UnitPrice]]</f>
        <v>185.82</v>
      </c>
      <c r="Q702" t="s">
        <v>1914</v>
      </c>
      <c r="R702" t="str">
        <f t="shared" si="10"/>
        <v>Normal</v>
      </c>
    </row>
    <row r="703" spans="1:18" x14ac:dyDescent="0.3">
      <c r="A703" t="s">
        <v>715</v>
      </c>
      <c r="B703" s="3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  <c r="P703">
        <f>Table1_2[[#This Row],[Quantity]]*Table1_2[[#This Row],[UnitPrice]]</f>
        <v>276.65999999999997</v>
      </c>
      <c r="Q703" t="s">
        <v>1915</v>
      </c>
      <c r="R703" t="str">
        <f t="shared" si="10"/>
        <v>Normal</v>
      </c>
    </row>
    <row r="704" spans="1:18" x14ac:dyDescent="0.3">
      <c r="A704" t="s">
        <v>716</v>
      </c>
      <c r="B704" s="3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4303</v>
      </c>
      <c r="M704" t="s">
        <v>4280</v>
      </c>
      <c r="N704">
        <v>1687.65</v>
      </c>
      <c r="P704">
        <f>Table1_2[[#This Row],[Quantity]]*Table1_2[[#This Row],[UnitPrice]]</f>
        <v>1687.6499999999999</v>
      </c>
      <c r="Q704" t="s">
        <v>1916</v>
      </c>
      <c r="R704" t="str">
        <f t="shared" si="10"/>
        <v>Normal</v>
      </c>
    </row>
    <row r="705" spans="1:18" x14ac:dyDescent="0.3">
      <c r="A705" t="s">
        <v>717</v>
      </c>
      <c r="B705" s="3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  <c r="P705">
        <f>Table1_2[[#This Row],[Quantity]]*Table1_2[[#This Row],[UnitPrice]]</f>
        <v>92.79</v>
      </c>
      <c r="Q705" t="s">
        <v>1917</v>
      </c>
      <c r="R705" t="str">
        <f t="shared" si="10"/>
        <v>Normal</v>
      </c>
    </row>
    <row r="706" spans="1:18" x14ac:dyDescent="0.3">
      <c r="A706" t="s">
        <v>718</v>
      </c>
      <c r="B706" s="3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  <c r="P706">
        <f>Table1_2[[#This Row],[Quantity]]*Table1_2[[#This Row],[UnitPrice]]</f>
        <v>121.08</v>
      </c>
      <c r="Q706" t="s">
        <v>1918</v>
      </c>
      <c r="R706" t="str">
        <f t="shared" si="10"/>
        <v>Normal</v>
      </c>
    </row>
    <row r="707" spans="1:18" x14ac:dyDescent="0.3">
      <c r="A707" t="s">
        <v>719</v>
      </c>
      <c r="B707" s="3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  <c r="P707">
        <f>Table1_2[[#This Row],[Quantity]]*Table1_2[[#This Row],[UnitPrice]]</f>
        <v>98.16</v>
      </c>
      <c r="Q707" t="s">
        <v>1919</v>
      </c>
      <c r="R707" t="str">
        <f t="shared" ref="R707:R770" si="11">IF(OR(N707&lt;$S$2-1.5*($T$2-$S$2),N707&gt;$S$2+1.5*($T$2-$S$2)), "Outlier", "Normal")</f>
        <v>Normal</v>
      </c>
    </row>
    <row r="708" spans="1:18" x14ac:dyDescent="0.3">
      <c r="A708" t="s">
        <v>720</v>
      </c>
      <c r="B708" s="3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  <c r="P708">
        <f>Table1_2[[#This Row],[Quantity]]*Table1_2[[#This Row],[UnitPrice]]</f>
        <v>1140.45</v>
      </c>
      <c r="Q708" t="s">
        <v>1920</v>
      </c>
      <c r="R708" t="str">
        <f t="shared" si="11"/>
        <v>Normal</v>
      </c>
    </row>
    <row r="709" spans="1:18" x14ac:dyDescent="0.3">
      <c r="A709" t="s">
        <v>721</v>
      </c>
      <c r="B709" s="3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  <c r="P709">
        <f>Table1_2[[#This Row],[Quantity]]*Table1_2[[#This Row],[UnitPrice]]</f>
        <v>2600.16</v>
      </c>
      <c r="Q709" t="s">
        <v>1921</v>
      </c>
      <c r="R709" t="str">
        <f t="shared" si="11"/>
        <v>Outlier</v>
      </c>
    </row>
    <row r="710" spans="1:18" x14ac:dyDescent="0.3">
      <c r="A710" t="s">
        <v>722</v>
      </c>
      <c r="B710" s="3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  <c r="P710">
        <f>Table1_2[[#This Row],[Quantity]]*Table1_2[[#This Row],[UnitPrice]]</f>
        <v>665.11</v>
      </c>
      <c r="Q710" t="s">
        <v>1922</v>
      </c>
      <c r="R710" t="str">
        <f t="shared" si="11"/>
        <v>Normal</v>
      </c>
    </row>
    <row r="711" spans="1:18" x14ac:dyDescent="0.3">
      <c r="A711" t="s">
        <v>723</v>
      </c>
      <c r="B711" s="3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  <c r="P711">
        <f>Table1_2[[#This Row],[Quantity]]*Table1_2[[#This Row],[UnitPrice]]</f>
        <v>386.03</v>
      </c>
      <c r="Q711" t="s">
        <v>1923</v>
      </c>
      <c r="R711" t="str">
        <f t="shared" si="11"/>
        <v>Normal</v>
      </c>
    </row>
    <row r="712" spans="1:18" x14ac:dyDescent="0.3">
      <c r="A712" t="s">
        <v>724</v>
      </c>
      <c r="B712" s="3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4303</v>
      </c>
      <c r="M712" t="s">
        <v>4282</v>
      </c>
      <c r="N712">
        <v>107.7</v>
      </c>
      <c r="P712">
        <f>Table1_2[[#This Row],[Quantity]]*Table1_2[[#This Row],[UnitPrice]]</f>
        <v>107.69999999999999</v>
      </c>
      <c r="Q712" t="s">
        <v>1924</v>
      </c>
      <c r="R712" t="str">
        <f t="shared" si="11"/>
        <v>Normal</v>
      </c>
    </row>
    <row r="713" spans="1:18" x14ac:dyDescent="0.3">
      <c r="A713" t="s">
        <v>725</v>
      </c>
      <c r="B713" s="3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  <c r="P713">
        <f>Table1_2[[#This Row],[Quantity]]*Table1_2[[#This Row],[UnitPrice]]</f>
        <v>951.56</v>
      </c>
      <c r="Q713" t="s">
        <v>1925</v>
      </c>
      <c r="R713" t="str">
        <f t="shared" si="11"/>
        <v>Normal</v>
      </c>
    </row>
    <row r="714" spans="1:18" x14ac:dyDescent="0.3">
      <c r="A714" t="s">
        <v>726</v>
      </c>
      <c r="B714" s="3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  <c r="P714">
        <f>Table1_2[[#This Row],[Quantity]]*Table1_2[[#This Row],[UnitPrice]]</f>
        <v>136.80000000000001</v>
      </c>
      <c r="Q714" t="s">
        <v>1926</v>
      </c>
      <c r="R714" t="str">
        <f t="shared" si="11"/>
        <v>Normal</v>
      </c>
    </row>
    <row r="715" spans="1:18" x14ac:dyDescent="0.3">
      <c r="A715" t="s">
        <v>727</v>
      </c>
      <c r="B715" s="3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  <c r="P715">
        <f>Table1_2[[#This Row],[Quantity]]*Table1_2[[#This Row],[UnitPrice]]</f>
        <v>2129.96</v>
      </c>
      <c r="Q715" t="s">
        <v>1927</v>
      </c>
      <c r="R715" t="str">
        <f t="shared" si="11"/>
        <v>Normal</v>
      </c>
    </row>
    <row r="716" spans="1:18" x14ac:dyDescent="0.3">
      <c r="A716" t="s">
        <v>728</v>
      </c>
      <c r="B716" s="3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  <c r="P716">
        <f>Table1_2[[#This Row],[Quantity]]*Table1_2[[#This Row],[UnitPrice]]</f>
        <v>51.73</v>
      </c>
      <c r="Q716" t="s">
        <v>1928</v>
      </c>
      <c r="R716" t="str">
        <f t="shared" si="11"/>
        <v>Normal</v>
      </c>
    </row>
    <row r="717" spans="1:18" x14ac:dyDescent="0.3">
      <c r="A717" t="s">
        <v>729</v>
      </c>
      <c r="B717" s="3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  <c r="P717">
        <f>Table1_2[[#This Row],[Quantity]]*Table1_2[[#This Row],[UnitPrice]]</f>
        <v>1960.8899999999999</v>
      </c>
      <c r="Q717" t="s">
        <v>1929</v>
      </c>
      <c r="R717" t="str">
        <f t="shared" si="11"/>
        <v>Normal</v>
      </c>
    </row>
    <row r="718" spans="1:18" x14ac:dyDescent="0.3">
      <c r="A718" t="s">
        <v>730</v>
      </c>
      <c r="B718" s="3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  <c r="P718">
        <f>Table1_2[[#This Row],[Quantity]]*Table1_2[[#This Row],[UnitPrice]]</f>
        <v>1362.8700000000001</v>
      </c>
      <c r="Q718" t="s">
        <v>1930</v>
      </c>
      <c r="R718" t="str">
        <f t="shared" si="11"/>
        <v>Normal</v>
      </c>
    </row>
    <row r="719" spans="1:18" x14ac:dyDescent="0.3">
      <c r="A719" t="s">
        <v>731</v>
      </c>
      <c r="B719" s="3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  <c r="P719">
        <f>Table1_2[[#This Row],[Quantity]]*Table1_2[[#This Row],[UnitPrice]]</f>
        <v>366.33</v>
      </c>
      <c r="Q719" t="s">
        <v>1931</v>
      </c>
      <c r="R719" t="str">
        <f t="shared" si="11"/>
        <v>Normal</v>
      </c>
    </row>
    <row r="720" spans="1:18" x14ac:dyDescent="0.3">
      <c r="A720" t="s">
        <v>732</v>
      </c>
      <c r="B720" s="3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  <c r="P720">
        <f>Table1_2[[#This Row],[Quantity]]*Table1_2[[#This Row],[UnitPrice]]</f>
        <v>258.95999999999998</v>
      </c>
      <c r="Q720" t="s">
        <v>1932</v>
      </c>
      <c r="R720" t="str">
        <f t="shared" si="11"/>
        <v>Normal</v>
      </c>
    </row>
    <row r="721" spans="1:18" x14ac:dyDescent="0.3">
      <c r="A721" t="s">
        <v>733</v>
      </c>
      <c r="B721" s="3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  <c r="P721">
        <f>Table1_2[[#This Row],[Quantity]]*Table1_2[[#This Row],[UnitPrice]]</f>
        <v>1362.12</v>
      </c>
      <c r="Q721" t="s">
        <v>1933</v>
      </c>
      <c r="R721" t="str">
        <f t="shared" si="11"/>
        <v>Normal</v>
      </c>
    </row>
    <row r="722" spans="1:18" x14ac:dyDescent="0.3">
      <c r="A722" t="s">
        <v>734</v>
      </c>
      <c r="B722" s="3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  <c r="P722">
        <f>Table1_2[[#This Row],[Quantity]]*Table1_2[[#This Row],[UnitPrice]]</f>
        <v>644.75</v>
      </c>
      <c r="Q722" t="s">
        <v>1934</v>
      </c>
      <c r="R722" t="str">
        <f t="shared" si="11"/>
        <v>Normal</v>
      </c>
    </row>
    <row r="723" spans="1:18" x14ac:dyDescent="0.3">
      <c r="A723" t="s">
        <v>735</v>
      </c>
      <c r="B723" s="3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4303</v>
      </c>
      <c r="M723" t="s">
        <v>4280</v>
      </c>
      <c r="N723">
        <v>237.18</v>
      </c>
      <c r="P723">
        <f>Table1_2[[#This Row],[Quantity]]*Table1_2[[#This Row],[UnitPrice]]</f>
        <v>237.18</v>
      </c>
      <c r="Q723" t="s">
        <v>1935</v>
      </c>
      <c r="R723" t="str">
        <f t="shared" si="11"/>
        <v>Normal</v>
      </c>
    </row>
    <row r="724" spans="1:18" x14ac:dyDescent="0.3">
      <c r="A724" t="s">
        <v>736</v>
      </c>
      <c r="B724" s="3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  <c r="P724">
        <f>Table1_2[[#This Row],[Quantity]]*Table1_2[[#This Row],[UnitPrice]]</f>
        <v>95.1</v>
      </c>
      <c r="Q724" t="s">
        <v>1936</v>
      </c>
      <c r="R724" t="str">
        <f t="shared" si="11"/>
        <v>Normal</v>
      </c>
    </row>
    <row r="725" spans="1:18" x14ac:dyDescent="0.3">
      <c r="A725" t="s">
        <v>737</v>
      </c>
      <c r="B725" s="3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  <c r="P725">
        <f>Table1_2[[#This Row],[Quantity]]*Table1_2[[#This Row],[UnitPrice]]</f>
        <v>164.85000000000002</v>
      </c>
      <c r="Q725" t="s">
        <v>1937</v>
      </c>
      <c r="R725" t="str">
        <f t="shared" si="11"/>
        <v>Normal</v>
      </c>
    </row>
    <row r="726" spans="1:18" x14ac:dyDescent="0.3">
      <c r="A726" t="s">
        <v>738</v>
      </c>
      <c r="B726" s="3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  <c r="P726">
        <f>Table1_2[[#This Row],[Quantity]]*Table1_2[[#This Row],[UnitPrice]]</f>
        <v>410.90999999999997</v>
      </c>
      <c r="Q726" t="s">
        <v>1938</v>
      </c>
      <c r="R726" t="str">
        <f t="shared" si="11"/>
        <v>Normal</v>
      </c>
    </row>
    <row r="727" spans="1:18" x14ac:dyDescent="0.3">
      <c r="A727" t="s">
        <v>739</v>
      </c>
      <c r="B727" s="3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4303</v>
      </c>
      <c r="M727" t="s">
        <v>4279</v>
      </c>
      <c r="N727">
        <v>389.7</v>
      </c>
      <c r="P727">
        <f>Table1_2[[#This Row],[Quantity]]*Table1_2[[#This Row],[UnitPrice]]</f>
        <v>389.7</v>
      </c>
      <c r="Q727" t="s">
        <v>1939</v>
      </c>
      <c r="R727" t="str">
        <f t="shared" si="11"/>
        <v>Normal</v>
      </c>
    </row>
    <row r="728" spans="1:18" x14ac:dyDescent="0.3">
      <c r="A728" t="s">
        <v>740</v>
      </c>
      <c r="B728" s="3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  <c r="P728">
        <f>Table1_2[[#This Row],[Quantity]]*Table1_2[[#This Row],[UnitPrice]]</f>
        <v>2332.08</v>
      </c>
      <c r="Q728" t="s">
        <v>1940</v>
      </c>
      <c r="R728" t="str">
        <f t="shared" si="11"/>
        <v>Outlier</v>
      </c>
    </row>
    <row r="729" spans="1:18" x14ac:dyDescent="0.3">
      <c r="A729" t="s">
        <v>741</v>
      </c>
      <c r="B729" s="3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  <c r="P729">
        <f>Table1_2[[#This Row],[Quantity]]*Table1_2[[#This Row],[UnitPrice]]</f>
        <v>478.75</v>
      </c>
      <c r="Q729" t="s">
        <v>1941</v>
      </c>
      <c r="R729" t="str">
        <f t="shared" si="11"/>
        <v>Normal</v>
      </c>
    </row>
    <row r="730" spans="1:18" x14ac:dyDescent="0.3">
      <c r="A730" t="s">
        <v>742</v>
      </c>
      <c r="B730" s="3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  <c r="P730">
        <f>Table1_2[[#This Row],[Quantity]]*Table1_2[[#This Row],[UnitPrice]]</f>
        <v>1303.04</v>
      </c>
      <c r="Q730" t="s">
        <v>1942</v>
      </c>
      <c r="R730" t="str">
        <f t="shared" si="11"/>
        <v>Normal</v>
      </c>
    </row>
    <row r="731" spans="1:18" x14ac:dyDescent="0.3">
      <c r="A731" t="s">
        <v>743</v>
      </c>
      <c r="B731" s="3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  <c r="P731">
        <f>Table1_2[[#This Row],[Quantity]]*Table1_2[[#This Row],[UnitPrice]]</f>
        <v>745.64</v>
      </c>
      <c r="Q731" t="s">
        <v>1943</v>
      </c>
      <c r="R731" t="str">
        <f t="shared" si="11"/>
        <v>Normal</v>
      </c>
    </row>
    <row r="732" spans="1:18" x14ac:dyDescent="0.3">
      <c r="A732" t="s">
        <v>744</v>
      </c>
      <c r="B732" s="3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  <c r="P732">
        <f>Table1_2[[#This Row],[Quantity]]*Table1_2[[#This Row],[UnitPrice]]</f>
        <v>474.6</v>
      </c>
      <c r="Q732" t="s">
        <v>1944</v>
      </c>
      <c r="R732" t="str">
        <f t="shared" si="11"/>
        <v>Normal</v>
      </c>
    </row>
    <row r="733" spans="1:18" x14ac:dyDescent="0.3">
      <c r="A733" t="s">
        <v>745</v>
      </c>
      <c r="B733" s="3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4303</v>
      </c>
      <c r="M733" t="s">
        <v>4280</v>
      </c>
      <c r="N733">
        <v>2922.3</v>
      </c>
      <c r="P733">
        <f>Table1_2[[#This Row],[Quantity]]*Table1_2[[#This Row],[UnitPrice]]</f>
        <v>2922.3</v>
      </c>
      <c r="Q733" t="s">
        <v>1945</v>
      </c>
      <c r="R733" t="str">
        <f t="shared" si="11"/>
        <v>Outlier</v>
      </c>
    </row>
    <row r="734" spans="1:18" x14ac:dyDescent="0.3">
      <c r="A734" t="s">
        <v>746</v>
      </c>
      <c r="B734" s="3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4303</v>
      </c>
      <c r="M734" t="s">
        <v>4282</v>
      </c>
      <c r="N734">
        <v>132.05000000000001</v>
      </c>
      <c r="P734">
        <f>Table1_2[[#This Row],[Quantity]]*Table1_2[[#This Row],[UnitPrice]]</f>
        <v>132.05000000000001</v>
      </c>
      <c r="Q734" t="s">
        <v>1946</v>
      </c>
      <c r="R734" t="str">
        <f t="shared" si="11"/>
        <v>Normal</v>
      </c>
    </row>
    <row r="735" spans="1:18" x14ac:dyDescent="0.3">
      <c r="A735" t="s">
        <v>747</v>
      </c>
      <c r="B735" s="3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  <c r="P735">
        <f>Table1_2[[#This Row],[Quantity]]*Table1_2[[#This Row],[UnitPrice]]</f>
        <v>1979.36</v>
      </c>
      <c r="Q735" t="s">
        <v>1947</v>
      </c>
      <c r="R735" t="str">
        <f t="shared" si="11"/>
        <v>Normal</v>
      </c>
    </row>
    <row r="736" spans="1:18" x14ac:dyDescent="0.3">
      <c r="A736" t="s">
        <v>748</v>
      </c>
      <c r="B736" s="3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  <c r="P736">
        <f>Table1_2[[#This Row],[Quantity]]*Table1_2[[#This Row],[UnitPrice]]</f>
        <v>898.44</v>
      </c>
      <c r="Q736" t="s">
        <v>1948</v>
      </c>
      <c r="R736" t="str">
        <f t="shared" si="11"/>
        <v>Normal</v>
      </c>
    </row>
    <row r="737" spans="1:18" x14ac:dyDescent="0.3">
      <c r="A737" t="s">
        <v>749</v>
      </c>
      <c r="B737" s="3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4303</v>
      </c>
      <c r="M737" t="s">
        <v>4280</v>
      </c>
      <c r="N737">
        <v>176.28</v>
      </c>
      <c r="P737">
        <f>Table1_2[[#This Row],[Quantity]]*Table1_2[[#This Row],[UnitPrice]]</f>
        <v>176.28</v>
      </c>
      <c r="Q737" t="s">
        <v>1949</v>
      </c>
      <c r="R737" t="str">
        <f t="shared" si="11"/>
        <v>Normal</v>
      </c>
    </row>
    <row r="738" spans="1:18" x14ac:dyDescent="0.3">
      <c r="A738" t="s">
        <v>750</v>
      </c>
      <c r="B738" s="3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  <c r="P738">
        <f>Table1_2[[#This Row],[Quantity]]*Table1_2[[#This Row],[UnitPrice]]</f>
        <v>2092.6499999999996</v>
      </c>
      <c r="Q738" t="s">
        <v>1950</v>
      </c>
      <c r="R738" t="str">
        <f t="shared" si="11"/>
        <v>Normal</v>
      </c>
    </row>
    <row r="739" spans="1:18" x14ac:dyDescent="0.3">
      <c r="A739" t="s">
        <v>751</v>
      </c>
      <c r="B739" s="3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  <c r="P739">
        <f>Table1_2[[#This Row],[Quantity]]*Table1_2[[#This Row],[UnitPrice]]</f>
        <v>2131.48</v>
      </c>
      <c r="Q739" t="s">
        <v>1951</v>
      </c>
      <c r="R739" t="str">
        <f t="shared" si="11"/>
        <v>Normal</v>
      </c>
    </row>
    <row r="740" spans="1:18" x14ac:dyDescent="0.3">
      <c r="A740" t="s">
        <v>752</v>
      </c>
      <c r="B740" s="3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  <c r="P740">
        <f>Table1_2[[#This Row],[Quantity]]*Table1_2[[#This Row],[UnitPrice]]</f>
        <v>970.74</v>
      </c>
      <c r="Q740" t="s">
        <v>1952</v>
      </c>
      <c r="R740" t="str">
        <f t="shared" si="11"/>
        <v>Normal</v>
      </c>
    </row>
    <row r="741" spans="1:18" x14ac:dyDescent="0.3">
      <c r="A741" t="s">
        <v>753</v>
      </c>
      <c r="B741" s="3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  <c r="P741">
        <f>Table1_2[[#This Row],[Quantity]]*Table1_2[[#This Row],[UnitPrice]]</f>
        <v>1546.92</v>
      </c>
      <c r="Q741" t="s">
        <v>1953</v>
      </c>
      <c r="R741" t="str">
        <f t="shared" si="11"/>
        <v>Normal</v>
      </c>
    </row>
    <row r="742" spans="1:18" x14ac:dyDescent="0.3">
      <c r="A742" t="s">
        <v>754</v>
      </c>
      <c r="B742" s="3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4303</v>
      </c>
      <c r="M742" t="s">
        <v>4282</v>
      </c>
      <c r="N742">
        <v>754.94</v>
      </c>
      <c r="P742">
        <f>Table1_2[[#This Row],[Quantity]]*Table1_2[[#This Row],[UnitPrice]]</f>
        <v>754.94</v>
      </c>
      <c r="Q742" t="s">
        <v>1954</v>
      </c>
      <c r="R742" t="str">
        <f t="shared" si="11"/>
        <v>Normal</v>
      </c>
    </row>
    <row r="743" spans="1:18" x14ac:dyDescent="0.3">
      <c r="A743" t="s">
        <v>755</v>
      </c>
      <c r="B743" s="3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4303</v>
      </c>
      <c r="M743" t="s">
        <v>4279</v>
      </c>
      <c r="N743">
        <v>1663.2</v>
      </c>
      <c r="P743">
        <f>Table1_2[[#This Row],[Quantity]]*Table1_2[[#This Row],[UnitPrice]]</f>
        <v>1663.1999999999998</v>
      </c>
      <c r="Q743" t="s">
        <v>1955</v>
      </c>
      <c r="R743" t="str">
        <f t="shared" si="11"/>
        <v>Normal</v>
      </c>
    </row>
    <row r="744" spans="1:18" x14ac:dyDescent="0.3">
      <c r="A744" t="s">
        <v>756</v>
      </c>
      <c r="B744" s="3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  <c r="P744">
        <f>Table1_2[[#This Row],[Quantity]]*Table1_2[[#This Row],[UnitPrice]]</f>
        <v>2099.79</v>
      </c>
      <c r="Q744" t="s">
        <v>1956</v>
      </c>
      <c r="R744" t="str">
        <f t="shared" si="11"/>
        <v>Normal</v>
      </c>
    </row>
    <row r="745" spans="1:18" x14ac:dyDescent="0.3">
      <c r="A745" t="s">
        <v>757</v>
      </c>
      <c r="B745" s="3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  <c r="P745">
        <f>Table1_2[[#This Row],[Quantity]]*Table1_2[[#This Row],[UnitPrice]]</f>
        <v>576.35</v>
      </c>
      <c r="Q745" t="s">
        <v>1957</v>
      </c>
      <c r="R745" t="str">
        <f t="shared" si="11"/>
        <v>Normal</v>
      </c>
    </row>
    <row r="746" spans="1:18" x14ac:dyDescent="0.3">
      <c r="A746" t="s">
        <v>758</v>
      </c>
      <c r="B746" s="3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  <c r="P746">
        <f>Table1_2[[#This Row],[Quantity]]*Table1_2[[#This Row],[UnitPrice]]</f>
        <v>922.74</v>
      </c>
      <c r="Q746" t="s">
        <v>1958</v>
      </c>
      <c r="R746" t="str">
        <f t="shared" si="11"/>
        <v>Normal</v>
      </c>
    </row>
    <row r="747" spans="1:18" x14ac:dyDescent="0.3">
      <c r="A747" t="s">
        <v>759</v>
      </c>
      <c r="B747" s="3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  <c r="P747">
        <f>Table1_2[[#This Row],[Quantity]]*Table1_2[[#This Row],[UnitPrice]]</f>
        <v>445.2</v>
      </c>
      <c r="Q747" t="s">
        <v>1959</v>
      </c>
      <c r="R747" t="str">
        <f t="shared" si="11"/>
        <v>Normal</v>
      </c>
    </row>
    <row r="748" spans="1:18" x14ac:dyDescent="0.3">
      <c r="A748" t="s">
        <v>760</v>
      </c>
      <c r="B748" s="3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  <c r="P748">
        <f>Table1_2[[#This Row],[Quantity]]*Table1_2[[#This Row],[UnitPrice]]</f>
        <v>1985.67</v>
      </c>
      <c r="Q748" t="s">
        <v>1960</v>
      </c>
      <c r="R748" t="str">
        <f t="shared" si="11"/>
        <v>Normal</v>
      </c>
    </row>
    <row r="749" spans="1:18" x14ac:dyDescent="0.3">
      <c r="A749" t="s">
        <v>761</v>
      </c>
      <c r="B749" s="3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  <c r="P749">
        <f>Table1_2[[#This Row],[Quantity]]*Table1_2[[#This Row],[UnitPrice]]</f>
        <v>519.16</v>
      </c>
      <c r="Q749" t="s">
        <v>1961</v>
      </c>
      <c r="R749" t="str">
        <f t="shared" si="11"/>
        <v>Normal</v>
      </c>
    </row>
    <row r="750" spans="1:18" x14ac:dyDescent="0.3">
      <c r="A750" t="s">
        <v>762</v>
      </c>
      <c r="B750" s="3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  <c r="P750">
        <f>Table1_2[[#This Row],[Quantity]]*Table1_2[[#This Row],[UnitPrice]]</f>
        <v>212.43</v>
      </c>
      <c r="Q750" t="s">
        <v>1962</v>
      </c>
      <c r="R750" t="str">
        <f t="shared" si="11"/>
        <v>Normal</v>
      </c>
    </row>
    <row r="751" spans="1:18" x14ac:dyDescent="0.3">
      <c r="A751" t="s">
        <v>763</v>
      </c>
      <c r="B751" s="3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  <c r="P751">
        <f>Table1_2[[#This Row],[Quantity]]*Table1_2[[#This Row],[UnitPrice]]</f>
        <v>518.39</v>
      </c>
      <c r="Q751" t="s">
        <v>1963</v>
      </c>
      <c r="R751" t="str">
        <f t="shared" si="11"/>
        <v>Normal</v>
      </c>
    </row>
    <row r="752" spans="1:18" x14ac:dyDescent="0.3">
      <c r="A752" t="s">
        <v>764</v>
      </c>
      <c r="B752" s="3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  <c r="P752">
        <f>Table1_2[[#This Row],[Quantity]]*Table1_2[[#This Row],[UnitPrice]]</f>
        <v>581.64</v>
      </c>
      <c r="Q752" t="s">
        <v>1964</v>
      </c>
      <c r="R752" t="str">
        <f t="shared" si="11"/>
        <v>Normal</v>
      </c>
    </row>
    <row r="753" spans="1:18" x14ac:dyDescent="0.3">
      <c r="A753" t="s">
        <v>765</v>
      </c>
      <c r="B753" s="3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  <c r="P753">
        <f>Table1_2[[#This Row],[Quantity]]*Table1_2[[#This Row],[UnitPrice]]</f>
        <v>1199.72</v>
      </c>
      <c r="Q753" t="s">
        <v>1965</v>
      </c>
      <c r="R753" t="str">
        <f t="shared" si="11"/>
        <v>Normal</v>
      </c>
    </row>
    <row r="754" spans="1:18" x14ac:dyDescent="0.3">
      <c r="A754" t="s">
        <v>766</v>
      </c>
      <c r="B754" s="3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  <c r="P754">
        <f>Table1_2[[#This Row],[Quantity]]*Table1_2[[#This Row],[UnitPrice]]</f>
        <v>1717.48</v>
      </c>
      <c r="Q754" t="s">
        <v>1966</v>
      </c>
      <c r="R754" t="str">
        <f t="shared" si="11"/>
        <v>Normal</v>
      </c>
    </row>
    <row r="755" spans="1:18" x14ac:dyDescent="0.3">
      <c r="A755" t="s">
        <v>767</v>
      </c>
      <c r="B755" s="3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  <c r="P755">
        <f>Table1_2[[#This Row],[Quantity]]*Table1_2[[#This Row],[UnitPrice]]</f>
        <v>482.98</v>
      </c>
      <c r="Q755" t="s">
        <v>1967</v>
      </c>
      <c r="R755" t="str">
        <f t="shared" si="11"/>
        <v>Normal</v>
      </c>
    </row>
    <row r="756" spans="1:18" x14ac:dyDescent="0.3">
      <c r="A756" t="s">
        <v>768</v>
      </c>
      <c r="B756" s="3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  <c r="P756">
        <f>Table1_2[[#This Row],[Quantity]]*Table1_2[[#This Row],[UnitPrice]]</f>
        <v>904.1</v>
      </c>
      <c r="Q756" t="s">
        <v>1968</v>
      </c>
      <c r="R756" t="str">
        <f t="shared" si="11"/>
        <v>Normal</v>
      </c>
    </row>
    <row r="757" spans="1:18" x14ac:dyDescent="0.3">
      <c r="A757" t="s">
        <v>769</v>
      </c>
      <c r="B757" s="3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4303</v>
      </c>
      <c r="M757" t="s">
        <v>4280</v>
      </c>
      <c r="N757">
        <v>1010.13</v>
      </c>
      <c r="P757">
        <f>Table1_2[[#This Row],[Quantity]]*Table1_2[[#This Row],[UnitPrice]]</f>
        <v>1010.1299999999999</v>
      </c>
      <c r="Q757" t="s">
        <v>1969</v>
      </c>
      <c r="R757" t="str">
        <f t="shared" si="11"/>
        <v>Normal</v>
      </c>
    </row>
    <row r="758" spans="1:18" x14ac:dyDescent="0.3">
      <c r="A758" t="s">
        <v>770</v>
      </c>
      <c r="B758" s="3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4303</v>
      </c>
      <c r="M758" t="s">
        <v>4282</v>
      </c>
      <c r="N758">
        <v>283.69</v>
      </c>
      <c r="P758">
        <f>Table1_2[[#This Row],[Quantity]]*Table1_2[[#This Row],[UnitPrice]]</f>
        <v>283.69</v>
      </c>
      <c r="Q758" t="s">
        <v>1970</v>
      </c>
      <c r="R758" t="str">
        <f t="shared" si="11"/>
        <v>Normal</v>
      </c>
    </row>
    <row r="759" spans="1:18" x14ac:dyDescent="0.3">
      <c r="A759" t="s">
        <v>771</v>
      </c>
      <c r="B759" s="3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  <c r="P759">
        <f>Table1_2[[#This Row],[Quantity]]*Table1_2[[#This Row],[UnitPrice]]</f>
        <v>157.72</v>
      </c>
      <c r="Q759" t="s">
        <v>1971</v>
      </c>
      <c r="R759" t="str">
        <f t="shared" si="11"/>
        <v>Normal</v>
      </c>
    </row>
    <row r="760" spans="1:18" x14ac:dyDescent="0.3">
      <c r="A760" t="s">
        <v>772</v>
      </c>
      <c r="B760" s="3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  <c r="P760">
        <f>Table1_2[[#This Row],[Quantity]]*Table1_2[[#This Row],[UnitPrice]]</f>
        <v>1874.52</v>
      </c>
      <c r="Q760" t="s">
        <v>1972</v>
      </c>
      <c r="R760" t="str">
        <f t="shared" si="11"/>
        <v>Normal</v>
      </c>
    </row>
    <row r="761" spans="1:18" x14ac:dyDescent="0.3">
      <c r="A761" t="s">
        <v>773</v>
      </c>
      <c r="B761" s="3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  <c r="P761">
        <f>Table1_2[[#This Row],[Quantity]]*Table1_2[[#This Row],[UnitPrice]]</f>
        <v>924.03</v>
      </c>
      <c r="Q761" t="s">
        <v>1973</v>
      </c>
      <c r="R761" t="str">
        <f t="shared" si="11"/>
        <v>Normal</v>
      </c>
    </row>
    <row r="762" spans="1:18" x14ac:dyDescent="0.3">
      <c r="A762" t="s">
        <v>774</v>
      </c>
      <c r="B762" s="3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4303</v>
      </c>
      <c r="M762" t="s">
        <v>4282</v>
      </c>
      <c r="N762">
        <v>39.56</v>
      </c>
      <c r="P762">
        <f>Table1_2[[#This Row],[Quantity]]*Table1_2[[#This Row],[UnitPrice]]</f>
        <v>39.56</v>
      </c>
      <c r="Q762" t="s">
        <v>1974</v>
      </c>
      <c r="R762" t="str">
        <f t="shared" si="11"/>
        <v>Normal</v>
      </c>
    </row>
    <row r="763" spans="1:18" x14ac:dyDescent="0.3">
      <c r="A763" t="s">
        <v>775</v>
      </c>
      <c r="B763" s="3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4303</v>
      </c>
      <c r="M763" t="s">
        <v>4282</v>
      </c>
      <c r="N763">
        <v>151.04</v>
      </c>
      <c r="P763">
        <f>Table1_2[[#This Row],[Quantity]]*Table1_2[[#This Row],[UnitPrice]]</f>
        <v>151.04</v>
      </c>
      <c r="Q763" t="s">
        <v>1975</v>
      </c>
      <c r="R763" t="str">
        <f t="shared" si="11"/>
        <v>Normal</v>
      </c>
    </row>
    <row r="764" spans="1:18" x14ac:dyDescent="0.3">
      <c r="A764" t="s">
        <v>776</v>
      </c>
      <c r="B764" s="3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  <c r="P764">
        <f>Table1_2[[#This Row],[Quantity]]*Table1_2[[#This Row],[UnitPrice]]</f>
        <v>230.88</v>
      </c>
      <c r="Q764" t="s">
        <v>1976</v>
      </c>
      <c r="R764" t="str">
        <f t="shared" si="11"/>
        <v>Normal</v>
      </c>
    </row>
    <row r="765" spans="1:18" x14ac:dyDescent="0.3">
      <c r="A765" t="s">
        <v>777</v>
      </c>
      <c r="B765" s="3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  <c r="P765">
        <f>Table1_2[[#This Row],[Quantity]]*Table1_2[[#This Row],[UnitPrice]]</f>
        <v>569.96</v>
      </c>
      <c r="Q765" t="s">
        <v>1977</v>
      </c>
      <c r="R765" t="str">
        <f t="shared" si="11"/>
        <v>Normal</v>
      </c>
    </row>
    <row r="766" spans="1:18" x14ac:dyDescent="0.3">
      <c r="A766" t="s">
        <v>778</v>
      </c>
      <c r="B766" s="3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  <c r="P766">
        <f>Table1_2[[#This Row],[Quantity]]*Table1_2[[#This Row],[UnitPrice]]</f>
        <v>3137.1499999999996</v>
      </c>
      <c r="Q766" t="s">
        <v>1978</v>
      </c>
      <c r="R766" t="str">
        <f t="shared" si="11"/>
        <v>Outlier</v>
      </c>
    </row>
    <row r="767" spans="1:18" x14ac:dyDescent="0.3">
      <c r="A767" t="s">
        <v>779</v>
      </c>
      <c r="B767" s="3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  <c r="P767">
        <f>Table1_2[[#This Row],[Quantity]]*Table1_2[[#This Row],[UnitPrice]]</f>
        <v>1069.82</v>
      </c>
      <c r="Q767" t="s">
        <v>1979</v>
      </c>
      <c r="R767" t="str">
        <f t="shared" si="11"/>
        <v>Normal</v>
      </c>
    </row>
    <row r="768" spans="1:18" x14ac:dyDescent="0.3">
      <c r="A768" t="s">
        <v>780</v>
      </c>
      <c r="B768" s="3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  <c r="P768">
        <f>Table1_2[[#This Row],[Quantity]]*Table1_2[[#This Row],[UnitPrice]]</f>
        <v>557.76</v>
      </c>
      <c r="Q768" t="s">
        <v>1980</v>
      </c>
      <c r="R768" t="str">
        <f t="shared" si="11"/>
        <v>Normal</v>
      </c>
    </row>
    <row r="769" spans="1:18" x14ac:dyDescent="0.3">
      <c r="A769" t="s">
        <v>781</v>
      </c>
      <c r="B769" s="3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4303</v>
      </c>
      <c r="M769" t="s">
        <v>4278</v>
      </c>
      <c r="N769">
        <v>646.44000000000005</v>
      </c>
      <c r="P769">
        <f>Table1_2[[#This Row],[Quantity]]*Table1_2[[#This Row],[UnitPrice]]</f>
        <v>646.44000000000005</v>
      </c>
      <c r="Q769" t="s">
        <v>1981</v>
      </c>
      <c r="R769" t="str">
        <f t="shared" si="11"/>
        <v>Normal</v>
      </c>
    </row>
    <row r="770" spans="1:18" x14ac:dyDescent="0.3">
      <c r="A770" t="s">
        <v>782</v>
      </c>
      <c r="B770" s="3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  <c r="P770">
        <f>Table1_2[[#This Row],[Quantity]]*Table1_2[[#This Row],[UnitPrice]]</f>
        <v>3267.3</v>
      </c>
      <c r="Q770" t="s">
        <v>1982</v>
      </c>
      <c r="R770" t="str">
        <f t="shared" si="11"/>
        <v>Outlier</v>
      </c>
    </row>
    <row r="771" spans="1:18" x14ac:dyDescent="0.3">
      <c r="A771" t="s">
        <v>783</v>
      </c>
      <c r="B771" s="3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4303</v>
      </c>
      <c r="M771" t="s">
        <v>4280</v>
      </c>
      <c r="N771">
        <v>2714.2</v>
      </c>
      <c r="P771">
        <f>Table1_2[[#This Row],[Quantity]]*Table1_2[[#This Row],[UnitPrice]]</f>
        <v>2714.2</v>
      </c>
      <c r="Q771" t="s">
        <v>1983</v>
      </c>
      <c r="R771" t="str">
        <f t="shared" ref="R771:R834" si="12">IF(OR(N771&lt;$S$2-1.5*($T$2-$S$2),N771&gt;$S$2+1.5*($T$2-$S$2)), "Outlier", "Normal")</f>
        <v>Outlier</v>
      </c>
    </row>
    <row r="772" spans="1:18" x14ac:dyDescent="0.3">
      <c r="A772" t="s">
        <v>784</v>
      </c>
      <c r="B772" s="3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4303</v>
      </c>
      <c r="M772" t="s">
        <v>4282</v>
      </c>
      <c r="N772">
        <v>314.38</v>
      </c>
      <c r="P772">
        <f>Table1_2[[#This Row],[Quantity]]*Table1_2[[#This Row],[UnitPrice]]</f>
        <v>314.38</v>
      </c>
      <c r="Q772" t="s">
        <v>1984</v>
      </c>
      <c r="R772" t="str">
        <f t="shared" si="12"/>
        <v>Normal</v>
      </c>
    </row>
    <row r="773" spans="1:18" x14ac:dyDescent="0.3">
      <c r="A773" t="s">
        <v>785</v>
      </c>
      <c r="B773" s="3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  <c r="P773">
        <f>Table1_2[[#This Row],[Quantity]]*Table1_2[[#This Row],[UnitPrice]]</f>
        <v>2077.3200000000002</v>
      </c>
      <c r="Q773" t="s">
        <v>1985</v>
      </c>
      <c r="R773" t="str">
        <f t="shared" si="12"/>
        <v>Normal</v>
      </c>
    </row>
    <row r="774" spans="1:18" x14ac:dyDescent="0.3">
      <c r="A774" t="s">
        <v>786</v>
      </c>
      <c r="B774" s="3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4303</v>
      </c>
      <c r="M774" t="s">
        <v>4278</v>
      </c>
      <c r="N774">
        <v>604.87</v>
      </c>
      <c r="P774">
        <f>Table1_2[[#This Row],[Quantity]]*Table1_2[[#This Row],[UnitPrice]]</f>
        <v>604.87</v>
      </c>
      <c r="Q774" t="s">
        <v>1986</v>
      </c>
      <c r="R774" t="str">
        <f t="shared" si="12"/>
        <v>Normal</v>
      </c>
    </row>
    <row r="775" spans="1:18" x14ac:dyDescent="0.3">
      <c r="A775" t="s">
        <v>787</v>
      </c>
      <c r="B775" s="3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4303</v>
      </c>
      <c r="M775" t="s">
        <v>4281</v>
      </c>
      <c r="N775">
        <v>1024.6600000000001</v>
      </c>
      <c r="P775">
        <f>Table1_2[[#This Row],[Quantity]]*Table1_2[[#This Row],[UnitPrice]]</f>
        <v>1024.6600000000001</v>
      </c>
      <c r="Q775" t="s">
        <v>1987</v>
      </c>
      <c r="R775" t="str">
        <f t="shared" si="12"/>
        <v>Normal</v>
      </c>
    </row>
    <row r="776" spans="1:18" x14ac:dyDescent="0.3">
      <c r="A776" t="s">
        <v>788</v>
      </c>
      <c r="B776" s="3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  <c r="P776">
        <f>Table1_2[[#This Row],[Quantity]]*Table1_2[[#This Row],[UnitPrice]]</f>
        <v>61.62</v>
      </c>
      <c r="Q776" t="s">
        <v>1988</v>
      </c>
      <c r="R776" t="str">
        <f t="shared" si="12"/>
        <v>Normal</v>
      </c>
    </row>
    <row r="777" spans="1:18" x14ac:dyDescent="0.3">
      <c r="A777" t="s">
        <v>789</v>
      </c>
      <c r="B777" s="3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4303</v>
      </c>
      <c r="M777" t="s">
        <v>4282</v>
      </c>
      <c r="N777">
        <v>1250.44</v>
      </c>
      <c r="P777">
        <f>Table1_2[[#This Row],[Quantity]]*Table1_2[[#This Row],[UnitPrice]]</f>
        <v>1250.44</v>
      </c>
      <c r="Q777" t="s">
        <v>1989</v>
      </c>
      <c r="R777" t="str">
        <f t="shared" si="12"/>
        <v>Normal</v>
      </c>
    </row>
    <row r="778" spans="1:18" x14ac:dyDescent="0.3">
      <c r="A778" t="s">
        <v>790</v>
      </c>
      <c r="B778" s="3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  <c r="P778">
        <f>Table1_2[[#This Row],[Quantity]]*Table1_2[[#This Row],[UnitPrice]]</f>
        <v>21.19</v>
      </c>
      <c r="Q778" t="s">
        <v>1990</v>
      </c>
      <c r="R778" t="str">
        <f t="shared" si="12"/>
        <v>Normal</v>
      </c>
    </row>
    <row r="779" spans="1:18" x14ac:dyDescent="0.3">
      <c r="A779" t="s">
        <v>791</v>
      </c>
      <c r="B779" s="3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4303</v>
      </c>
      <c r="M779" t="s">
        <v>4281</v>
      </c>
      <c r="N779">
        <v>322.45</v>
      </c>
      <c r="P779">
        <f>Table1_2[[#This Row],[Quantity]]*Table1_2[[#This Row],[UnitPrice]]</f>
        <v>322.45</v>
      </c>
      <c r="Q779" t="s">
        <v>1991</v>
      </c>
      <c r="R779" t="str">
        <f t="shared" si="12"/>
        <v>Normal</v>
      </c>
    </row>
    <row r="780" spans="1:18" x14ac:dyDescent="0.3">
      <c r="A780" t="s">
        <v>792</v>
      </c>
      <c r="B780" s="3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  <c r="P780">
        <f>Table1_2[[#This Row],[Quantity]]*Table1_2[[#This Row],[UnitPrice]]</f>
        <v>987.4</v>
      </c>
      <c r="Q780" t="s">
        <v>1992</v>
      </c>
      <c r="R780" t="str">
        <f t="shared" si="12"/>
        <v>Normal</v>
      </c>
    </row>
    <row r="781" spans="1:18" x14ac:dyDescent="0.3">
      <c r="A781" t="s">
        <v>793</v>
      </c>
      <c r="B781" s="3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  <c r="P781">
        <f>Table1_2[[#This Row],[Quantity]]*Table1_2[[#This Row],[UnitPrice]]</f>
        <v>1766.22</v>
      </c>
      <c r="Q781" t="s">
        <v>1993</v>
      </c>
      <c r="R781" t="str">
        <f t="shared" si="12"/>
        <v>Normal</v>
      </c>
    </row>
    <row r="782" spans="1:18" x14ac:dyDescent="0.3">
      <c r="A782" t="s">
        <v>794</v>
      </c>
      <c r="B782" s="3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  <c r="P782">
        <f>Table1_2[[#This Row],[Quantity]]*Table1_2[[#This Row],[UnitPrice]]</f>
        <v>737.92</v>
      </c>
      <c r="Q782" t="s">
        <v>1994</v>
      </c>
      <c r="R782" t="str">
        <f t="shared" si="12"/>
        <v>Normal</v>
      </c>
    </row>
    <row r="783" spans="1:18" x14ac:dyDescent="0.3">
      <c r="A783" t="s">
        <v>795</v>
      </c>
      <c r="B783" s="3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  <c r="P783">
        <f>Table1_2[[#This Row],[Quantity]]*Table1_2[[#This Row],[UnitPrice]]</f>
        <v>2621.3000000000002</v>
      </c>
      <c r="Q783" t="s">
        <v>1995</v>
      </c>
      <c r="R783" t="str">
        <f t="shared" si="12"/>
        <v>Outlier</v>
      </c>
    </row>
    <row r="784" spans="1:18" x14ac:dyDescent="0.3">
      <c r="A784" t="s">
        <v>796</v>
      </c>
      <c r="B784" s="3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  <c r="P784">
        <f>Table1_2[[#This Row],[Quantity]]*Table1_2[[#This Row],[UnitPrice]]</f>
        <v>987.26</v>
      </c>
      <c r="Q784" t="s">
        <v>1996</v>
      </c>
      <c r="R784" t="str">
        <f t="shared" si="12"/>
        <v>Normal</v>
      </c>
    </row>
    <row r="785" spans="1:18" x14ac:dyDescent="0.3">
      <c r="A785" t="s">
        <v>797</v>
      </c>
      <c r="B785" s="3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  <c r="P785">
        <f>Table1_2[[#This Row],[Quantity]]*Table1_2[[#This Row],[UnitPrice]]</f>
        <v>438.34</v>
      </c>
      <c r="Q785" t="s">
        <v>1997</v>
      </c>
      <c r="R785" t="str">
        <f t="shared" si="12"/>
        <v>Normal</v>
      </c>
    </row>
    <row r="786" spans="1:18" x14ac:dyDescent="0.3">
      <c r="A786" t="s">
        <v>798</v>
      </c>
      <c r="B786" s="3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  <c r="P786">
        <f>Table1_2[[#This Row],[Quantity]]*Table1_2[[#This Row],[UnitPrice]]</f>
        <v>325.81</v>
      </c>
      <c r="Q786" t="s">
        <v>1998</v>
      </c>
      <c r="R786" t="str">
        <f t="shared" si="12"/>
        <v>Normal</v>
      </c>
    </row>
    <row r="787" spans="1:18" x14ac:dyDescent="0.3">
      <c r="A787" t="s">
        <v>799</v>
      </c>
      <c r="B787" s="3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  <c r="P787">
        <f>Table1_2[[#This Row],[Quantity]]*Table1_2[[#This Row],[UnitPrice]]</f>
        <v>176.1</v>
      </c>
      <c r="Q787" t="s">
        <v>1999</v>
      </c>
      <c r="R787" t="str">
        <f t="shared" si="12"/>
        <v>Normal</v>
      </c>
    </row>
    <row r="788" spans="1:18" x14ac:dyDescent="0.3">
      <c r="A788" t="s">
        <v>800</v>
      </c>
      <c r="B788" s="3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4303</v>
      </c>
      <c r="M788" t="s">
        <v>4279</v>
      </c>
      <c r="N788">
        <v>226.55</v>
      </c>
      <c r="P788">
        <f>Table1_2[[#This Row],[Quantity]]*Table1_2[[#This Row],[UnitPrice]]</f>
        <v>226.55</v>
      </c>
      <c r="Q788" t="s">
        <v>2000</v>
      </c>
      <c r="R788" t="str">
        <f t="shared" si="12"/>
        <v>Normal</v>
      </c>
    </row>
    <row r="789" spans="1:18" x14ac:dyDescent="0.3">
      <c r="A789" t="s">
        <v>801</v>
      </c>
      <c r="B789" s="3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4303</v>
      </c>
      <c r="M789" t="s">
        <v>4282</v>
      </c>
      <c r="N789">
        <v>887.84</v>
      </c>
      <c r="P789">
        <f>Table1_2[[#This Row],[Quantity]]*Table1_2[[#This Row],[UnitPrice]]</f>
        <v>887.84</v>
      </c>
      <c r="Q789" t="s">
        <v>2001</v>
      </c>
      <c r="R789" t="str">
        <f t="shared" si="12"/>
        <v>Normal</v>
      </c>
    </row>
    <row r="790" spans="1:18" x14ac:dyDescent="0.3">
      <c r="A790" t="s">
        <v>802</v>
      </c>
      <c r="B790" s="3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  <c r="P790">
        <f>Table1_2[[#This Row],[Quantity]]*Table1_2[[#This Row],[UnitPrice]]</f>
        <v>1202.8599999999999</v>
      </c>
      <c r="Q790" t="s">
        <v>2002</v>
      </c>
      <c r="R790" t="str">
        <f t="shared" si="12"/>
        <v>Normal</v>
      </c>
    </row>
    <row r="791" spans="1:18" x14ac:dyDescent="0.3">
      <c r="A791" t="s">
        <v>803</v>
      </c>
      <c r="B791" s="3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  <c r="P791">
        <f>Table1_2[[#This Row],[Quantity]]*Table1_2[[#This Row],[UnitPrice]]</f>
        <v>3456.3999999999996</v>
      </c>
      <c r="Q791" t="s">
        <v>2003</v>
      </c>
      <c r="R791" t="str">
        <f t="shared" si="12"/>
        <v>Outlier</v>
      </c>
    </row>
    <row r="792" spans="1:18" x14ac:dyDescent="0.3">
      <c r="A792" t="s">
        <v>804</v>
      </c>
      <c r="B792" s="3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4303</v>
      </c>
      <c r="M792" t="s">
        <v>4282</v>
      </c>
      <c r="N792">
        <v>1671.56</v>
      </c>
      <c r="P792">
        <f>Table1_2[[#This Row],[Quantity]]*Table1_2[[#This Row],[UnitPrice]]</f>
        <v>1671.56</v>
      </c>
      <c r="Q792" t="s">
        <v>2004</v>
      </c>
      <c r="R792" t="str">
        <f t="shared" si="12"/>
        <v>Normal</v>
      </c>
    </row>
    <row r="793" spans="1:18" x14ac:dyDescent="0.3">
      <c r="A793" t="s">
        <v>805</v>
      </c>
      <c r="B793" s="3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4303</v>
      </c>
      <c r="M793" t="s">
        <v>4280</v>
      </c>
      <c r="N793">
        <v>1637.12</v>
      </c>
      <c r="P793">
        <f>Table1_2[[#This Row],[Quantity]]*Table1_2[[#This Row],[UnitPrice]]</f>
        <v>1637.12</v>
      </c>
      <c r="Q793" t="s">
        <v>2005</v>
      </c>
      <c r="R793" t="str">
        <f t="shared" si="12"/>
        <v>Normal</v>
      </c>
    </row>
    <row r="794" spans="1:18" x14ac:dyDescent="0.3">
      <c r="A794" t="s">
        <v>806</v>
      </c>
      <c r="B794" s="3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  <c r="P794">
        <f>Table1_2[[#This Row],[Quantity]]*Table1_2[[#This Row],[UnitPrice]]</f>
        <v>712.7</v>
      </c>
      <c r="Q794" t="s">
        <v>2006</v>
      </c>
      <c r="R794" t="str">
        <f t="shared" si="12"/>
        <v>Normal</v>
      </c>
    </row>
    <row r="795" spans="1:18" x14ac:dyDescent="0.3">
      <c r="A795" t="s">
        <v>807</v>
      </c>
      <c r="B795" s="3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4303</v>
      </c>
      <c r="M795" t="s">
        <v>4279</v>
      </c>
      <c r="N795">
        <v>851.1</v>
      </c>
      <c r="P795">
        <f>Table1_2[[#This Row],[Quantity]]*Table1_2[[#This Row],[UnitPrice]]</f>
        <v>851.1</v>
      </c>
      <c r="Q795" t="s">
        <v>2007</v>
      </c>
      <c r="R795" t="str">
        <f t="shared" si="12"/>
        <v>Normal</v>
      </c>
    </row>
    <row r="796" spans="1:18" x14ac:dyDescent="0.3">
      <c r="A796" t="s">
        <v>808</v>
      </c>
      <c r="B796" s="3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  <c r="P796">
        <f>Table1_2[[#This Row],[Quantity]]*Table1_2[[#This Row],[UnitPrice]]</f>
        <v>1539.4</v>
      </c>
      <c r="Q796" t="s">
        <v>2008</v>
      </c>
      <c r="R796" t="str">
        <f t="shared" si="12"/>
        <v>Normal</v>
      </c>
    </row>
    <row r="797" spans="1:18" x14ac:dyDescent="0.3">
      <c r="A797" t="s">
        <v>809</v>
      </c>
      <c r="B797" s="3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  <c r="P797">
        <f>Table1_2[[#This Row],[Quantity]]*Table1_2[[#This Row],[UnitPrice]]</f>
        <v>463.08</v>
      </c>
      <c r="Q797" t="s">
        <v>2009</v>
      </c>
      <c r="R797" t="str">
        <f t="shared" si="12"/>
        <v>Normal</v>
      </c>
    </row>
    <row r="798" spans="1:18" x14ac:dyDescent="0.3">
      <c r="A798" t="s">
        <v>810</v>
      </c>
      <c r="B798" s="3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  <c r="P798">
        <f>Table1_2[[#This Row],[Quantity]]*Table1_2[[#This Row],[UnitPrice]]</f>
        <v>1738.6499999999999</v>
      </c>
      <c r="Q798" t="s">
        <v>2010</v>
      </c>
      <c r="R798" t="str">
        <f t="shared" si="12"/>
        <v>Normal</v>
      </c>
    </row>
    <row r="799" spans="1:18" x14ac:dyDescent="0.3">
      <c r="A799" t="s">
        <v>811</v>
      </c>
      <c r="B799" s="3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4303</v>
      </c>
      <c r="M799" t="s">
        <v>4281</v>
      </c>
      <c r="N799">
        <v>877.52</v>
      </c>
      <c r="P799">
        <f>Table1_2[[#This Row],[Quantity]]*Table1_2[[#This Row],[UnitPrice]]</f>
        <v>877.52</v>
      </c>
      <c r="Q799" t="s">
        <v>2011</v>
      </c>
      <c r="R799" t="str">
        <f t="shared" si="12"/>
        <v>Normal</v>
      </c>
    </row>
    <row r="800" spans="1:18" x14ac:dyDescent="0.3">
      <c r="A800" t="s">
        <v>812</v>
      </c>
      <c r="B800" s="3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  <c r="P800">
        <f>Table1_2[[#This Row],[Quantity]]*Table1_2[[#This Row],[UnitPrice]]</f>
        <v>2441.75</v>
      </c>
      <c r="Q800" t="s">
        <v>2012</v>
      </c>
      <c r="R800" t="str">
        <f t="shared" si="12"/>
        <v>Outlier</v>
      </c>
    </row>
    <row r="801" spans="1:18" x14ac:dyDescent="0.3">
      <c r="A801" t="s">
        <v>813</v>
      </c>
      <c r="B801" s="3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  <c r="P801">
        <f>Table1_2[[#This Row],[Quantity]]*Table1_2[[#This Row],[UnitPrice]]</f>
        <v>1314.24</v>
      </c>
      <c r="Q801" t="s">
        <v>2013</v>
      </c>
      <c r="R801" t="str">
        <f t="shared" si="12"/>
        <v>Normal</v>
      </c>
    </row>
    <row r="802" spans="1:18" x14ac:dyDescent="0.3">
      <c r="A802" t="s">
        <v>814</v>
      </c>
      <c r="B802" s="3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  <c r="P802">
        <f>Table1_2[[#This Row],[Quantity]]*Table1_2[[#This Row],[UnitPrice]]</f>
        <v>68.39</v>
      </c>
      <c r="Q802" t="s">
        <v>2014</v>
      </c>
      <c r="R802" t="str">
        <f t="shared" si="12"/>
        <v>Normal</v>
      </c>
    </row>
    <row r="803" spans="1:18" x14ac:dyDescent="0.3">
      <c r="A803" t="s">
        <v>815</v>
      </c>
      <c r="B803" s="3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  <c r="P803">
        <f>Table1_2[[#This Row],[Quantity]]*Table1_2[[#This Row],[UnitPrice]]</f>
        <v>2382.48</v>
      </c>
      <c r="Q803" t="s">
        <v>2015</v>
      </c>
      <c r="R803" t="str">
        <f t="shared" si="12"/>
        <v>Outlier</v>
      </c>
    </row>
    <row r="804" spans="1:18" x14ac:dyDescent="0.3">
      <c r="A804" t="s">
        <v>816</v>
      </c>
      <c r="B804" s="3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  <c r="P804">
        <f>Table1_2[[#This Row],[Quantity]]*Table1_2[[#This Row],[UnitPrice]]</f>
        <v>3223.2</v>
      </c>
      <c r="Q804" t="s">
        <v>2016</v>
      </c>
      <c r="R804" t="str">
        <f t="shared" si="12"/>
        <v>Outlier</v>
      </c>
    </row>
    <row r="805" spans="1:18" x14ac:dyDescent="0.3">
      <c r="A805" t="s">
        <v>817</v>
      </c>
      <c r="B805" s="3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  <c r="P805">
        <f>Table1_2[[#This Row],[Quantity]]*Table1_2[[#This Row],[UnitPrice]]</f>
        <v>1989.05</v>
      </c>
      <c r="Q805" t="s">
        <v>2017</v>
      </c>
      <c r="R805" t="str">
        <f t="shared" si="12"/>
        <v>Normal</v>
      </c>
    </row>
    <row r="806" spans="1:18" x14ac:dyDescent="0.3">
      <c r="A806" t="s">
        <v>818</v>
      </c>
      <c r="B806" s="3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  <c r="P806">
        <f>Table1_2[[#This Row],[Quantity]]*Table1_2[[#This Row],[UnitPrice]]</f>
        <v>709.5</v>
      </c>
      <c r="Q806" t="s">
        <v>2018</v>
      </c>
      <c r="R806" t="str">
        <f t="shared" si="12"/>
        <v>Normal</v>
      </c>
    </row>
    <row r="807" spans="1:18" x14ac:dyDescent="0.3">
      <c r="A807" t="s">
        <v>819</v>
      </c>
      <c r="B807" s="3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  <c r="P807">
        <f>Table1_2[[#This Row],[Quantity]]*Table1_2[[#This Row],[UnitPrice]]</f>
        <v>2360.0500000000002</v>
      </c>
      <c r="Q807" t="s">
        <v>2019</v>
      </c>
      <c r="R807" t="str">
        <f t="shared" si="12"/>
        <v>Outlier</v>
      </c>
    </row>
    <row r="808" spans="1:18" x14ac:dyDescent="0.3">
      <c r="A808" t="s">
        <v>820</v>
      </c>
      <c r="B808" s="3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  <c r="P808">
        <f>Table1_2[[#This Row],[Quantity]]*Table1_2[[#This Row],[UnitPrice]]</f>
        <v>1268.75</v>
      </c>
      <c r="Q808" t="s">
        <v>2020</v>
      </c>
      <c r="R808" t="str">
        <f t="shared" si="12"/>
        <v>Normal</v>
      </c>
    </row>
    <row r="809" spans="1:18" x14ac:dyDescent="0.3">
      <c r="A809" t="s">
        <v>821</v>
      </c>
      <c r="B809" s="3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  <c r="P809">
        <f>Table1_2[[#This Row],[Quantity]]*Table1_2[[#This Row],[UnitPrice]]</f>
        <v>2028.63</v>
      </c>
      <c r="Q809" t="s">
        <v>2021</v>
      </c>
      <c r="R809" t="str">
        <f t="shared" si="12"/>
        <v>Normal</v>
      </c>
    </row>
    <row r="810" spans="1:18" x14ac:dyDescent="0.3">
      <c r="A810" t="s">
        <v>822</v>
      </c>
      <c r="B810" s="3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4303</v>
      </c>
      <c r="M810" t="s">
        <v>4282</v>
      </c>
      <c r="N810">
        <v>402.15</v>
      </c>
      <c r="P810">
        <f>Table1_2[[#This Row],[Quantity]]*Table1_2[[#This Row],[UnitPrice]]</f>
        <v>402.15000000000003</v>
      </c>
      <c r="Q810" t="s">
        <v>2022</v>
      </c>
      <c r="R810" t="str">
        <f t="shared" si="12"/>
        <v>Normal</v>
      </c>
    </row>
    <row r="811" spans="1:18" x14ac:dyDescent="0.3">
      <c r="A811" t="s">
        <v>823</v>
      </c>
      <c r="B811" s="3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  <c r="P811">
        <f>Table1_2[[#This Row],[Quantity]]*Table1_2[[#This Row],[UnitPrice]]</f>
        <v>1087.1500000000001</v>
      </c>
      <c r="Q811" t="s">
        <v>2023</v>
      </c>
      <c r="R811" t="str">
        <f t="shared" si="12"/>
        <v>Normal</v>
      </c>
    </row>
    <row r="812" spans="1:18" x14ac:dyDescent="0.3">
      <c r="A812" t="s">
        <v>824</v>
      </c>
      <c r="B812" s="3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4303</v>
      </c>
      <c r="M812" t="s">
        <v>4279</v>
      </c>
      <c r="N812">
        <v>553.55999999999995</v>
      </c>
      <c r="P812">
        <f>Table1_2[[#This Row],[Quantity]]*Table1_2[[#This Row],[UnitPrice]]</f>
        <v>553.55999999999995</v>
      </c>
      <c r="Q812" t="s">
        <v>2024</v>
      </c>
      <c r="R812" t="str">
        <f t="shared" si="12"/>
        <v>Normal</v>
      </c>
    </row>
    <row r="813" spans="1:18" x14ac:dyDescent="0.3">
      <c r="A813" t="s">
        <v>825</v>
      </c>
      <c r="B813" s="3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  <c r="P813">
        <f>Table1_2[[#This Row],[Quantity]]*Table1_2[[#This Row],[UnitPrice]]</f>
        <v>57.1</v>
      </c>
      <c r="Q813" t="s">
        <v>2025</v>
      </c>
      <c r="R813" t="str">
        <f t="shared" si="12"/>
        <v>Normal</v>
      </c>
    </row>
    <row r="814" spans="1:18" x14ac:dyDescent="0.3">
      <c r="A814" t="s">
        <v>826</v>
      </c>
      <c r="B814" s="3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  <c r="P814">
        <f>Table1_2[[#This Row],[Quantity]]*Table1_2[[#This Row],[UnitPrice]]</f>
        <v>510.52</v>
      </c>
      <c r="Q814" t="s">
        <v>2026</v>
      </c>
      <c r="R814" t="str">
        <f t="shared" si="12"/>
        <v>Normal</v>
      </c>
    </row>
    <row r="815" spans="1:18" x14ac:dyDescent="0.3">
      <c r="A815" t="s">
        <v>827</v>
      </c>
      <c r="B815" s="3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  <c r="P815">
        <f>Table1_2[[#This Row],[Quantity]]*Table1_2[[#This Row],[UnitPrice]]</f>
        <v>1462.7</v>
      </c>
      <c r="Q815" t="s">
        <v>2027</v>
      </c>
      <c r="R815" t="str">
        <f t="shared" si="12"/>
        <v>Normal</v>
      </c>
    </row>
    <row r="816" spans="1:18" x14ac:dyDescent="0.3">
      <c r="A816" t="s">
        <v>828</v>
      </c>
      <c r="B816" s="3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  <c r="P816">
        <f>Table1_2[[#This Row],[Quantity]]*Table1_2[[#This Row],[UnitPrice]]</f>
        <v>590.04</v>
      </c>
      <c r="Q816" t="s">
        <v>2028</v>
      </c>
      <c r="R816" t="str">
        <f t="shared" si="12"/>
        <v>Normal</v>
      </c>
    </row>
    <row r="817" spans="1:18" x14ac:dyDescent="0.3">
      <c r="A817" t="s">
        <v>829</v>
      </c>
      <c r="B817" s="3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  <c r="P817">
        <f>Table1_2[[#This Row],[Quantity]]*Table1_2[[#This Row],[UnitPrice]]</f>
        <v>1709.52</v>
      </c>
      <c r="Q817" t="s">
        <v>2029</v>
      </c>
      <c r="R817" t="str">
        <f t="shared" si="12"/>
        <v>Normal</v>
      </c>
    </row>
    <row r="818" spans="1:18" x14ac:dyDescent="0.3">
      <c r="A818" t="s">
        <v>830</v>
      </c>
      <c r="B818" s="3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  <c r="P818">
        <f>Table1_2[[#This Row],[Quantity]]*Table1_2[[#This Row],[UnitPrice]]</f>
        <v>2873.95</v>
      </c>
      <c r="Q818" t="s">
        <v>2030</v>
      </c>
      <c r="R818" t="str">
        <f t="shared" si="12"/>
        <v>Outlier</v>
      </c>
    </row>
    <row r="819" spans="1:18" x14ac:dyDescent="0.3">
      <c r="A819" t="s">
        <v>831</v>
      </c>
      <c r="B819" s="3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  <c r="P819">
        <f>Table1_2[[#This Row],[Quantity]]*Table1_2[[#This Row],[UnitPrice]]</f>
        <v>2392.7600000000002</v>
      </c>
      <c r="Q819" t="s">
        <v>2031</v>
      </c>
      <c r="R819" t="str">
        <f t="shared" si="12"/>
        <v>Outlier</v>
      </c>
    </row>
    <row r="820" spans="1:18" x14ac:dyDescent="0.3">
      <c r="A820" t="s">
        <v>832</v>
      </c>
      <c r="B820" s="3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  <c r="P820">
        <f>Table1_2[[#This Row],[Quantity]]*Table1_2[[#This Row],[UnitPrice]]</f>
        <v>1563.36</v>
      </c>
      <c r="Q820" t="s">
        <v>2032</v>
      </c>
      <c r="R820" t="str">
        <f t="shared" si="12"/>
        <v>Normal</v>
      </c>
    </row>
    <row r="821" spans="1:18" x14ac:dyDescent="0.3">
      <c r="A821" t="s">
        <v>833</v>
      </c>
      <c r="B821" s="3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  <c r="P821">
        <f>Table1_2[[#This Row],[Quantity]]*Table1_2[[#This Row],[UnitPrice]]</f>
        <v>796.9</v>
      </c>
      <c r="Q821" t="s">
        <v>2033</v>
      </c>
      <c r="R821" t="str">
        <f t="shared" si="12"/>
        <v>Normal</v>
      </c>
    </row>
    <row r="822" spans="1:18" x14ac:dyDescent="0.3">
      <c r="A822" t="s">
        <v>834</v>
      </c>
      <c r="B822" s="3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  <c r="P822">
        <f>Table1_2[[#This Row],[Quantity]]*Table1_2[[#This Row],[UnitPrice]]</f>
        <v>3119.0499999999997</v>
      </c>
      <c r="Q822" t="s">
        <v>2034</v>
      </c>
      <c r="R822" t="str">
        <f t="shared" si="12"/>
        <v>Outlier</v>
      </c>
    </row>
    <row r="823" spans="1:18" x14ac:dyDescent="0.3">
      <c r="A823" t="s">
        <v>835</v>
      </c>
      <c r="B823" s="3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  <c r="P823">
        <f>Table1_2[[#This Row],[Quantity]]*Table1_2[[#This Row],[UnitPrice]]</f>
        <v>697.96</v>
      </c>
      <c r="Q823" t="s">
        <v>2035</v>
      </c>
      <c r="R823" t="str">
        <f t="shared" si="12"/>
        <v>Normal</v>
      </c>
    </row>
    <row r="824" spans="1:18" x14ac:dyDescent="0.3">
      <c r="A824" t="s">
        <v>836</v>
      </c>
      <c r="B824" s="3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  <c r="P824">
        <f>Table1_2[[#This Row],[Quantity]]*Table1_2[[#This Row],[UnitPrice]]</f>
        <v>479.56</v>
      </c>
      <c r="Q824" t="s">
        <v>2036</v>
      </c>
      <c r="R824" t="str">
        <f t="shared" si="12"/>
        <v>Normal</v>
      </c>
    </row>
    <row r="825" spans="1:18" x14ac:dyDescent="0.3">
      <c r="A825" t="s">
        <v>837</v>
      </c>
      <c r="B825" s="3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  <c r="P825">
        <f>Table1_2[[#This Row],[Quantity]]*Table1_2[[#This Row],[UnitPrice]]</f>
        <v>2612.52</v>
      </c>
      <c r="Q825" t="s">
        <v>2037</v>
      </c>
      <c r="R825" t="str">
        <f t="shared" si="12"/>
        <v>Outlier</v>
      </c>
    </row>
    <row r="826" spans="1:18" x14ac:dyDescent="0.3">
      <c r="A826" t="s">
        <v>838</v>
      </c>
      <c r="B826" s="3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  <c r="P826">
        <f>Table1_2[[#This Row],[Quantity]]*Table1_2[[#This Row],[UnitPrice]]</f>
        <v>1443.3000000000002</v>
      </c>
      <c r="Q826" t="s">
        <v>2038</v>
      </c>
      <c r="R826" t="str">
        <f t="shared" si="12"/>
        <v>Normal</v>
      </c>
    </row>
    <row r="827" spans="1:18" x14ac:dyDescent="0.3">
      <c r="A827" t="s">
        <v>839</v>
      </c>
      <c r="B827" s="3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  <c r="P827">
        <f>Table1_2[[#This Row],[Quantity]]*Table1_2[[#This Row],[UnitPrice]]</f>
        <v>1358.45</v>
      </c>
      <c r="Q827" t="s">
        <v>2039</v>
      </c>
      <c r="R827" t="str">
        <f t="shared" si="12"/>
        <v>Normal</v>
      </c>
    </row>
    <row r="828" spans="1:18" x14ac:dyDescent="0.3">
      <c r="A828" t="s">
        <v>840</v>
      </c>
      <c r="B828" s="3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  <c r="P828">
        <f>Table1_2[[#This Row],[Quantity]]*Table1_2[[#This Row],[UnitPrice]]</f>
        <v>1391.43</v>
      </c>
      <c r="Q828" t="s">
        <v>2040</v>
      </c>
      <c r="R828" t="str">
        <f t="shared" si="12"/>
        <v>Normal</v>
      </c>
    </row>
    <row r="829" spans="1:18" x14ac:dyDescent="0.3">
      <c r="A829" t="s">
        <v>841</v>
      </c>
      <c r="B829" s="3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  <c r="P829">
        <f>Table1_2[[#This Row],[Quantity]]*Table1_2[[#This Row],[UnitPrice]]</f>
        <v>1279.76</v>
      </c>
      <c r="Q829" t="s">
        <v>2041</v>
      </c>
      <c r="R829" t="str">
        <f t="shared" si="12"/>
        <v>Normal</v>
      </c>
    </row>
    <row r="830" spans="1:18" x14ac:dyDescent="0.3">
      <c r="A830" t="s">
        <v>842</v>
      </c>
      <c r="B830" s="3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  <c r="P830">
        <f>Table1_2[[#This Row],[Quantity]]*Table1_2[[#This Row],[UnitPrice]]</f>
        <v>1618.32</v>
      </c>
      <c r="Q830" t="s">
        <v>2042</v>
      </c>
      <c r="R830" t="str">
        <f t="shared" si="12"/>
        <v>Normal</v>
      </c>
    </row>
    <row r="831" spans="1:18" x14ac:dyDescent="0.3">
      <c r="A831" t="s">
        <v>843</v>
      </c>
      <c r="B831" s="3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  <c r="P831">
        <f>Table1_2[[#This Row],[Quantity]]*Table1_2[[#This Row],[UnitPrice]]</f>
        <v>76.930000000000007</v>
      </c>
      <c r="Q831" t="s">
        <v>2043</v>
      </c>
      <c r="R831" t="str">
        <f t="shared" si="12"/>
        <v>Normal</v>
      </c>
    </row>
    <row r="832" spans="1:18" x14ac:dyDescent="0.3">
      <c r="A832" t="s">
        <v>844</v>
      </c>
      <c r="B832" s="3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  <c r="P832">
        <f>Table1_2[[#This Row],[Quantity]]*Table1_2[[#This Row],[UnitPrice]]</f>
        <v>762.56</v>
      </c>
      <c r="Q832" t="s">
        <v>2044</v>
      </c>
      <c r="R832" t="str">
        <f t="shared" si="12"/>
        <v>Normal</v>
      </c>
    </row>
    <row r="833" spans="1:18" x14ac:dyDescent="0.3">
      <c r="A833" t="s">
        <v>845</v>
      </c>
      <c r="B833" s="3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4303</v>
      </c>
      <c r="M833" t="s">
        <v>4282</v>
      </c>
      <c r="N833">
        <v>177.46</v>
      </c>
      <c r="P833">
        <f>Table1_2[[#This Row],[Quantity]]*Table1_2[[#This Row],[UnitPrice]]</f>
        <v>177.46</v>
      </c>
      <c r="Q833" t="s">
        <v>2045</v>
      </c>
      <c r="R833" t="str">
        <f t="shared" si="12"/>
        <v>Normal</v>
      </c>
    </row>
    <row r="834" spans="1:18" x14ac:dyDescent="0.3">
      <c r="A834" t="s">
        <v>846</v>
      </c>
      <c r="B834" s="3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  <c r="P834">
        <f>Table1_2[[#This Row],[Quantity]]*Table1_2[[#This Row],[UnitPrice]]</f>
        <v>2428.5499999999997</v>
      </c>
      <c r="Q834" t="s">
        <v>2046</v>
      </c>
      <c r="R834" t="str">
        <f t="shared" si="12"/>
        <v>Outlier</v>
      </c>
    </row>
    <row r="835" spans="1:18" x14ac:dyDescent="0.3">
      <c r="A835" t="s">
        <v>847</v>
      </c>
      <c r="B835" s="3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  <c r="P835">
        <f>Table1_2[[#This Row],[Quantity]]*Table1_2[[#This Row],[UnitPrice]]</f>
        <v>391.45000000000005</v>
      </c>
      <c r="Q835" t="s">
        <v>2047</v>
      </c>
      <c r="R835" t="str">
        <f t="shared" ref="R835:R898" si="13">IF(OR(N835&lt;$S$2-1.5*($T$2-$S$2),N835&gt;$S$2+1.5*($T$2-$S$2)), "Outlier", "Normal")</f>
        <v>Normal</v>
      </c>
    </row>
    <row r="836" spans="1:18" x14ac:dyDescent="0.3">
      <c r="A836" t="s">
        <v>848</v>
      </c>
      <c r="B836" s="3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4303</v>
      </c>
      <c r="M836" t="s">
        <v>4278</v>
      </c>
      <c r="N836">
        <v>110.7</v>
      </c>
      <c r="P836">
        <f>Table1_2[[#This Row],[Quantity]]*Table1_2[[#This Row],[UnitPrice]]</f>
        <v>110.7</v>
      </c>
      <c r="Q836" t="s">
        <v>2048</v>
      </c>
      <c r="R836" t="str">
        <f t="shared" si="13"/>
        <v>Normal</v>
      </c>
    </row>
    <row r="837" spans="1:18" x14ac:dyDescent="0.3">
      <c r="A837" t="s">
        <v>849</v>
      </c>
      <c r="B837" s="3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  <c r="P837">
        <f>Table1_2[[#This Row],[Quantity]]*Table1_2[[#This Row],[UnitPrice]]</f>
        <v>679.65</v>
      </c>
      <c r="Q837" t="s">
        <v>2049</v>
      </c>
      <c r="R837" t="str">
        <f t="shared" si="13"/>
        <v>Normal</v>
      </c>
    </row>
    <row r="838" spans="1:18" x14ac:dyDescent="0.3">
      <c r="A838" t="s">
        <v>850</v>
      </c>
      <c r="B838" s="3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  <c r="P838">
        <f>Table1_2[[#This Row],[Quantity]]*Table1_2[[#This Row],[UnitPrice]]</f>
        <v>178.44</v>
      </c>
      <c r="Q838" t="s">
        <v>2050</v>
      </c>
      <c r="R838" t="str">
        <f t="shared" si="13"/>
        <v>Normal</v>
      </c>
    </row>
    <row r="839" spans="1:18" x14ac:dyDescent="0.3">
      <c r="A839" t="s">
        <v>851</v>
      </c>
      <c r="B839" s="3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4303</v>
      </c>
      <c r="M839" t="s">
        <v>4280</v>
      </c>
      <c r="N839">
        <v>3277.75</v>
      </c>
      <c r="P839">
        <f>Table1_2[[#This Row],[Quantity]]*Table1_2[[#This Row],[UnitPrice]]</f>
        <v>3277.75</v>
      </c>
      <c r="Q839" t="s">
        <v>2051</v>
      </c>
      <c r="R839" t="str">
        <f t="shared" si="13"/>
        <v>Outlier</v>
      </c>
    </row>
    <row r="840" spans="1:18" x14ac:dyDescent="0.3">
      <c r="A840" t="s">
        <v>852</v>
      </c>
      <c r="B840" s="3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4303</v>
      </c>
      <c r="M840" t="s">
        <v>4281</v>
      </c>
      <c r="N840">
        <v>2308.3200000000002</v>
      </c>
      <c r="P840">
        <f>Table1_2[[#This Row],[Quantity]]*Table1_2[[#This Row],[UnitPrice]]</f>
        <v>2308.3200000000002</v>
      </c>
      <c r="Q840" t="s">
        <v>2052</v>
      </c>
      <c r="R840" t="str">
        <f t="shared" si="13"/>
        <v>Outlier</v>
      </c>
    </row>
    <row r="841" spans="1:18" x14ac:dyDescent="0.3">
      <c r="A841" t="s">
        <v>853</v>
      </c>
      <c r="B841" s="3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4303</v>
      </c>
      <c r="M841" t="s">
        <v>4282</v>
      </c>
      <c r="N841">
        <v>593.91</v>
      </c>
      <c r="P841">
        <f>Table1_2[[#This Row],[Quantity]]*Table1_2[[#This Row],[UnitPrice]]</f>
        <v>593.91</v>
      </c>
      <c r="Q841" t="s">
        <v>2053</v>
      </c>
      <c r="R841" t="str">
        <f t="shared" si="13"/>
        <v>Normal</v>
      </c>
    </row>
    <row r="842" spans="1:18" x14ac:dyDescent="0.3">
      <c r="A842" t="s">
        <v>854</v>
      </c>
      <c r="B842" s="3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  <c r="P842">
        <f>Table1_2[[#This Row],[Quantity]]*Table1_2[[#This Row],[UnitPrice]]</f>
        <v>1235.8499999999999</v>
      </c>
      <c r="Q842" t="s">
        <v>2054</v>
      </c>
      <c r="R842" t="str">
        <f t="shared" si="13"/>
        <v>Normal</v>
      </c>
    </row>
    <row r="843" spans="1:18" x14ac:dyDescent="0.3">
      <c r="A843" t="s">
        <v>855</v>
      </c>
      <c r="B843" s="3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4303</v>
      </c>
      <c r="M843" t="s">
        <v>4281</v>
      </c>
      <c r="N843">
        <v>886.44</v>
      </c>
      <c r="P843">
        <f>Table1_2[[#This Row],[Quantity]]*Table1_2[[#This Row],[UnitPrice]]</f>
        <v>886.44</v>
      </c>
      <c r="Q843" t="s">
        <v>2055</v>
      </c>
      <c r="R843" t="str">
        <f t="shared" si="13"/>
        <v>Normal</v>
      </c>
    </row>
    <row r="844" spans="1:18" x14ac:dyDescent="0.3">
      <c r="A844" t="s">
        <v>856</v>
      </c>
      <c r="B844" s="3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  <c r="P844">
        <f>Table1_2[[#This Row],[Quantity]]*Table1_2[[#This Row],[UnitPrice]]</f>
        <v>1092.42</v>
      </c>
      <c r="Q844" t="s">
        <v>2056</v>
      </c>
      <c r="R844" t="str">
        <f t="shared" si="13"/>
        <v>Normal</v>
      </c>
    </row>
    <row r="845" spans="1:18" x14ac:dyDescent="0.3">
      <c r="A845" t="s">
        <v>857</v>
      </c>
      <c r="B845" s="3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  <c r="P845">
        <f>Table1_2[[#This Row],[Quantity]]*Table1_2[[#This Row],[UnitPrice]]</f>
        <v>1290.18</v>
      </c>
      <c r="Q845" t="s">
        <v>2057</v>
      </c>
      <c r="R845" t="str">
        <f t="shared" si="13"/>
        <v>Normal</v>
      </c>
    </row>
    <row r="846" spans="1:18" x14ac:dyDescent="0.3">
      <c r="A846" t="s">
        <v>858</v>
      </c>
      <c r="B846" s="3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  <c r="P846">
        <f>Table1_2[[#This Row],[Quantity]]*Table1_2[[#This Row],[UnitPrice]]</f>
        <v>320.92</v>
      </c>
      <c r="Q846" t="s">
        <v>2058</v>
      </c>
      <c r="R846" t="str">
        <f t="shared" si="13"/>
        <v>Normal</v>
      </c>
    </row>
    <row r="847" spans="1:18" x14ac:dyDescent="0.3">
      <c r="A847" t="s">
        <v>859</v>
      </c>
      <c r="B847" s="3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  <c r="P847">
        <f>Table1_2[[#This Row],[Quantity]]*Table1_2[[#This Row],[UnitPrice]]</f>
        <v>322.08</v>
      </c>
      <c r="Q847" t="s">
        <v>2059</v>
      </c>
      <c r="R847" t="str">
        <f t="shared" si="13"/>
        <v>Normal</v>
      </c>
    </row>
    <row r="848" spans="1:18" x14ac:dyDescent="0.3">
      <c r="A848" t="s">
        <v>860</v>
      </c>
      <c r="B848" s="3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4303</v>
      </c>
      <c r="M848" t="s">
        <v>4279</v>
      </c>
      <c r="N848">
        <v>719.72</v>
      </c>
      <c r="P848">
        <f>Table1_2[[#This Row],[Quantity]]*Table1_2[[#This Row],[UnitPrice]]</f>
        <v>719.72</v>
      </c>
      <c r="Q848" t="s">
        <v>2060</v>
      </c>
      <c r="R848" t="str">
        <f t="shared" si="13"/>
        <v>Normal</v>
      </c>
    </row>
    <row r="849" spans="1:18" x14ac:dyDescent="0.3">
      <c r="A849" t="s">
        <v>861</v>
      </c>
      <c r="B849" s="3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  <c r="P849">
        <f>Table1_2[[#This Row],[Quantity]]*Table1_2[[#This Row],[UnitPrice]]</f>
        <v>1736.92</v>
      </c>
      <c r="Q849" t="s">
        <v>2061</v>
      </c>
      <c r="R849" t="str">
        <f t="shared" si="13"/>
        <v>Normal</v>
      </c>
    </row>
    <row r="850" spans="1:18" x14ac:dyDescent="0.3">
      <c r="A850" t="s">
        <v>862</v>
      </c>
      <c r="B850" s="3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4303</v>
      </c>
      <c r="M850" t="s">
        <v>4279</v>
      </c>
      <c r="N850">
        <v>1291.7</v>
      </c>
      <c r="P850">
        <f>Table1_2[[#This Row],[Quantity]]*Table1_2[[#This Row],[UnitPrice]]</f>
        <v>1291.7</v>
      </c>
      <c r="Q850" t="s">
        <v>2062</v>
      </c>
      <c r="R850" t="str">
        <f t="shared" si="13"/>
        <v>Normal</v>
      </c>
    </row>
    <row r="851" spans="1:18" x14ac:dyDescent="0.3">
      <c r="A851" t="s">
        <v>863</v>
      </c>
      <c r="B851" s="3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  <c r="P851">
        <f>Table1_2[[#This Row],[Quantity]]*Table1_2[[#This Row],[UnitPrice]]</f>
        <v>857.4</v>
      </c>
      <c r="Q851" t="s">
        <v>2063</v>
      </c>
      <c r="R851" t="str">
        <f t="shared" si="13"/>
        <v>Normal</v>
      </c>
    </row>
    <row r="852" spans="1:18" x14ac:dyDescent="0.3">
      <c r="A852" t="s">
        <v>864</v>
      </c>
      <c r="B852" s="3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  <c r="P852">
        <f>Table1_2[[#This Row],[Quantity]]*Table1_2[[#This Row],[UnitPrice]]</f>
        <v>1915.5</v>
      </c>
      <c r="Q852" t="s">
        <v>2064</v>
      </c>
      <c r="R852" t="str">
        <f t="shared" si="13"/>
        <v>Normal</v>
      </c>
    </row>
    <row r="853" spans="1:18" x14ac:dyDescent="0.3">
      <c r="A853" t="s">
        <v>865</v>
      </c>
      <c r="B853" s="3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  <c r="P853">
        <f>Table1_2[[#This Row],[Quantity]]*Table1_2[[#This Row],[UnitPrice]]</f>
        <v>365.57</v>
      </c>
      <c r="Q853" t="s">
        <v>2065</v>
      </c>
      <c r="R853" t="str">
        <f t="shared" si="13"/>
        <v>Normal</v>
      </c>
    </row>
    <row r="854" spans="1:18" x14ac:dyDescent="0.3">
      <c r="A854" t="s">
        <v>866</v>
      </c>
      <c r="B854" s="3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  <c r="P854">
        <f>Table1_2[[#This Row],[Quantity]]*Table1_2[[#This Row],[UnitPrice]]</f>
        <v>1704.1499999999999</v>
      </c>
      <c r="Q854" t="s">
        <v>2066</v>
      </c>
      <c r="R854" t="str">
        <f t="shared" si="13"/>
        <v>Normal</v>
      </c>
    </row>
    <row r="855" spans="1:18" x14ac:dyDescent="0.3">
      <c r="A855" t="s">
        <v>867</v>
      </c>
      <c r="B855" s="3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  <c r="P855">
        <f>Table1_2[[#This Row],[Quantity]]*Table1_2[[#This Row],[UnitPrice]]</f>
        <v>1470.03</v>
      </c>
      <c r="Q855" t="s">
        <v>2067</v>
      </c>
      <c r="R855" t="str">
        <f t="shared" si="13"/>
        <v>Normal</v>
      </c>
    </row>
    <row r="856" spans="1:18" x14ac:dyDescent="0.3">
      <c r="A856" t="s">
        <v>868</v>
      </c>
      <c r="B856" s="3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  <c r="P856">
        <f>Table1_2[[#This Row],[Quantity]]*Table1_2[[#This Row],[UnitPrice]]</f>
        <v>1117.8000000000002</v>
      </c>
      <c r="Q856" t="s">
        <v>2068</v>
      </c>
      <c r="R856" t="str">
        <f t="shared" si="13"/>
        <v>Normal</v>
      </c>
    </row>
    <row r="857" spans="1:18" x14ac:dyDescent="0.3">
      <c r="A857" t="s">
        <v>869</v>
      </c>
      <c r="B857" s="3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  <c r="P857">
        <f>Table1_2[[#This Row],[Quantity]]*Table1_2[[#This Row],[UnitPrice]]</f>
        <v>1203.0500000000002</v>
      </c>
      <c r="Q857" t="s">
        <v>2069</v>
      </c>
      <c r="R857" t="str">
        <f t="shared" si="13"/>
        <v>Normal</v>
      </c>
    </row>
    <row r="858" spans="1:18" x14ac:dyDescent="0.3">
      <c r="A858" t="s">
        <v>870</v>
      </c>
      <c r="B858" s="3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4303</v>
      </c>
      <c r="M858" t="s">
        <v>4281</v>
      </c>
      <c r="N858">
        <v>586.62</v>
      </c>
      <c r="P858">
        <f>Table1_2[[#This Row],[Quantity]]*Table1_2[[#This Row],[UnitPrice]]</f>
        <v>586.62</v>
      </c>
      <c r="Q858" t="s">
        <v>2070</v>
      </c>
      <c r="R858" t="str">
        <f t="shared" si="13"/>
        <v>Normal</v>
      </c>
    </row>
    <row r="859" spans="1:18" x14ac:dyDescent="0.3">
      <c r="A859" t="s">
        <v>871</v>
      </c>
      <c r="B859" s="3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4303</v>
      </c>
      <c r="M859" t="s">
        <v>4278</v>
      </c>
      <c r="N859">
        <v>773.52</v>
      </c>
      <c r="P859">
        <f>Table1_2[[#This Row],[Quantity]]*Table1_2[[#This Row],[UnitPrice]]</f>
        <v>773.52</v>
      </c>
      <c r="Q859" t="s">
        <v>2071</v>
      </c>
      <c r="R859" t="str">
        <f t="shared" si="13"/>
        <v>Normal</v>
      </c>
    </row>
    <row r="860" spans="1:18" x14ac:dyDescent="0.3">
      <c r="A860" t="s">
        <v>872</v>
      </c>
      <c r="B860" s="3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4303</v>
      </c>
      <c r="M860" t="s">
        <v>4281</v>
      </c>
      <c r="N860">
        <v>2178.3000000000002</v>
      </c>
      <c r="P860">
        <f>Table1_2[[#This Row],[Quantity]]*Table1_2[[#This Row],[UnitPrice]]</f>
        <v>2178.3000000000002</v>
      </c>
      <c r="Q860" t="s">
        <v>2072</v>
      </c>
      <c r="R860" t="str">
        <f t="shared" si="13"/>
        <v>Outlier</v>
      </c>
    </row>
    <row r="861" spans="1:18" x14ac:dyDescent="0.3">
      <c r="A861" t="s">
        <v>873</v>
      </c>
      <c r="B861" s="3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  <c r="P861">
        <f>Table1_2[[#This Row],[Quantity]]*Table1_2[[#This Row],[UnitPrice]]</f>
        <v>1306.6499999999999</v>
      </c>
      <c r="Q861" t="s">
        <v>2073</v>
      </c>
      <c r="R861" t="str">
        <f t="shared" si="13"/>
        <v>Normal</v>
      </c>
    </row>
    <row r="862" spans="1:18" x14ac:dyDescent="0.3">
      <c r="A862" t="s">
        <v>874</v>
      </c>
      <c r="B862" s="3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  <c r="P862">
        <f>Table1_2[[#This Row],[Quantity]]*Table1_2[[#This Row],[UnitPrice]]</f>
        <v>422.54</v>
      </c>
      <c r="Q862" t="s">
        <v>2074</v>
      </c>
      <c r="R862" t="str">
        <f t="shared" si="13"/>
        <v>Normal</v>
      </c>
    </row>
    <row r="863" spans="1:18" x14ac:dyDescent="0.3">
      <c r="A863" t="s">
        <v>875</v>
      </c>
      <c r="B863" s="3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  <c r="P863">
        <f>Table1_2[[#This Row],[Quantity]]*Table1_2[[#This Row],[UnitPrice]]</f>
        <v>1652.25</v>
      </c>
      <c r="Q863" t="s">
        <v>2075</v>
      </c>
      <c r="R863" t="str">
        <f t="shared" si="13"/>
        <v>Normal</v>
      </c>
    </row>
    <row r="864" spans="1:18" x14ac:dyDescent="0.3">
      <c r="A864" t="s">
        <v>876</v>
      </c>
      <c r="B864" s="3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  <c r="P864">
        <f>Table1_2[[#This Row],[Quantity]]*Table1_2[[#This Row],[UnitPrice]]</f>
        <v>362.46</v>
      </c>
      <c r="Q864" t="s">
        <v>2076</v>
      </c>
      <c r="R864" t="str">
        <f t="shared" si="13"/>
        <v>Normal</v>
      </c>
    </row>
    <row r="865" spans="1:18" x14ac:dyDescent="0.3">
      <c r="A865" t="s">
        <v>877</v>
      </c>
      <c r="B865" s="3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  <c r="P865">
        <f>Table1_2[[#This Row],[Quantity]]*Table1_2[[#This Row],[UnitPrice]]</f>
        <v>14.06</v>
      </c>
      <c r="Q865" t="s">
        <v>2077</v>
      </c>
      <c r="R865" t="str">
        <f t="shared" si="13"/>
        <v>Normal</v>
      </c>
    </row>
    <row r="866" spans="1:18" x14ac:dyDescent="0.3">
      <c r="A866" t="s">
        <v>878</v>
      </c>
      <c r="B866" s="3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  <c r="P866">
        <f>Table1_2[[#This Row],[Quantity]]*Table1_2[[#This Row],[UnitPrice]]</f>
        <v>491.11</v>
      </c>
      <c r="Q866" t="s">
        <v>2078</v>
      </c>
      <c r="R866" t="str">
        <f t="shared" si="13"/>
        <v>Normal</v>
      </c>
    </row>
    <row r="867" spans="1:18" x14ac:dyDescent="0.3">
      <c r="A867" t="s">
        <v>879</v>
      </c>
      <c r="B867" s="3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  <c r="P867">
        <f>Table1_2[[#This Row],[Quantity]]*Table1_2[[#This Row],[UnitPrice]]</f>
        <v>2709.48</v>
      </c>
      <c r="Q867" t="s">
        <v>2079</v>
      </c>
      <c r="R867" t="str">
        <f t="shared" si="13"/>
        <v>Outlier</v>
      </c>
    </row>
    <row r="868" spans="1:18" x14ac:dyDescent="0.3">
      <c r="A868" t="s">
        <v>880</v>
      </c>
      <c r="B868" s="3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  <c r="P868">
        <f>Table1_2[[#This Row],[Quantity]]*Table1_2[[#This Row],[UnitPrice]]</f>
        <v>946.25</v>
      </c>
      <c r="Q868" t="s">
        <v>2080</v>
      </c>
      <c r="R868" t="str">
        <f t="shared" si="13"/>
        <v>Normal</v>
      </c>
    </row>
    <row r="869" spans="1:18" x14ac:dyDescent="0.3">
      <c r="A869" t="s">
        <v>881</v>
      </c>
      <c r="B869" s="3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  <c r="P869">
        <f>Table1_2[[#This Row],[Quantity]]*Table1_2[[#This Row],[UnitPrice]]</f>
        <v>570.32000000000005</v>
      </c>
      <c r="Q869" t="s">
        <v>2081</v>
      </c>
      <c r="R869" t="str">
        <f t="shared" si="13"/>
        <v>Normal</v>
      </c>
    </row>
    <row r="870" spans="1:18" x14ac:dyDescent="0.3">
      <c r="A870" t="s">
        <v>882</v>
      </c>
      <c r="B870" s="3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4303</v>
      </c>
      <c r="M870" t="s">
        <v>4281</v>
      </c>
      <c r="N870">
        <v>1265.28</v>
      </c>
      <c r="P870">
        <f>Table1_2[[#This Row],[Quantity]]*Table1_2[[#This Row],[UnitPrice]]</f>
        <v>1265.28</v>
      </c>
      <c r="Q870" t="s">
        <v>2082</v>
      </c>
      <c r="R870" t="str">
        <f t="shared" si="13"/>
        <v>Normal</v>
      </c>
    </row>
    <row r="871" spans="1:18" x14ac:dyDescent="0.3">
      <c r="A871" t="s">
        <v>883</v>
      </c>
      <c r="B871" s="3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  <c r="P871">
        <f>Table1_2[[#This Row],[Quantity]]*Table1_2[[#This Row],[UnitPrice]]</f>
        <v>1067.9000000000001</v>
      </c>
      <c r="Q871" t="s">
        <v>2083</v>
      </c>
      <c r="R871" t="str">
        <f t="shared" si="13"/>
        <v>Normal</v>
      </c>
    </row>
    <row r="872" spans="1:18" x14ac:dyDescent="0.3">
      <c r="A872" t="s">
        <v>884</v>
      </c>
      <c r="B872" s="3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  <c r="P872">
        <f>Table1_2[[#This Row],[Quantity]]*Table1_2[[#This Row],[UnitPrice]]</f>
        <v>1880.36</v>
      </c>
      <c r="Q872" t="s">
        <v>2084</v>
      </c>
      <c r="R872" t="str">
        <f t="shared" si="13"/>
        <v>Normal</v>
      </c>
    </row>
    <row r="873" spans="1:18" x14ac:dyDescent="0.3">
      <c r="A873" t="s">
        <v>885</v>
      </c>
      <c r="B873" s="3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  <c r="P873">
        <f>Table1_2[[#This Row],[Quantity]]*Table1_2[[#This Row],[UnitPrice]]</f>
        <v>972.90000000000009</v>
      </c>
      <c r="Q873" t="s">
        <v>2085</v>
      </c>
      <c r="R873" t="str">
        <f t="shared" si="13"/>
        <v>Normal</v>
      </c>
    </row>
    <row r="874" spans="1:18" x14ac:dyDescent="0.3">
      <c r="A874" t="s">
        <v>886</v>
      </c>
      <c r="B874" s="3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4303</v>
      </c>
      <c r="M874" t="s">
        <v>4280</v>
      </c>
      <c r="N874">
        <v>2517.36</v>
      </c>
      <c r="P874">
        <f>Table1_2[[#This Row],[Quantity]]*Table1_2[[#This Row],[UnitPrice]]</f>
        <v>2517.36</v>
      </c>
      <c r="Q874" t="s">
        <v>2086</v>
      </c>
      <c r="R874" t="str">
        <f t="shared" si="13"/>
        <v>Outlier</v>
      </c>
    </row>
    <row r="875" spans="1:18" x14ac:dyDescent="0.3">
      <c r="A875" t="s">
        <v>887</v>
      </c>
      <c r="B875" s="3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  <c r="P875">
        <f>Table1_2[[#This Row],[Quantity]]*Table1_2[[#This Row],[UnitPrice]]</f>
        <v>410.52</v>
      </c>
      <c r="Q875" t="s">
        <v>2087</v>
      </c>
      <c r="R875" t="str">
        <f t="shared" si="13"/>
        <v>Normal</v>
      </c>
    </row>
    <row r="876" spans="1:18" x14ac:dyDescent="0.3">
      <c r="A876" t="s">
        <v>888</v>
      </c>
      <c r="B876" s="3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  <c r="P876">
        <f>Table1_2[[#This Row],[Quantity]]*Table1_2[[#This Row],[UnitPrice]]</f>
        <v>977.8</v>
      </c>
      <c r="Q876" t="s">
        <v>2088</v>
      </c>
      <c r="R876" t="str">
        <f t="shared" si="13"/>
        <v>Normal</v>
      </c>
    </row>
    <row r="877" spans="1:18" x14ac:dyDescent="0.3">
      <c r="A877" t="s">
        <v>889</v>
      </c>
      <c r="B877" s="3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  <c r="P877">
        <f>Table1_2[[#This Row],[Quantity]]*Table1_2[[#This Row],[UnitPrice]]</f>
        <v>666.94999999999993</v>
      </c>
      <c r="Q877" t="s">
        <v>2089</v>
      </c>
      <c r="R877" t="str">
        <f t="shared" si="13"/>
        <v>Normal</v>
      </c>
    </row>
    <row r="878" spans="1:18" x14ac:dyDescent="0.3">
      <c r="A878" t="s">
        <v>890</v>
      </c>
      <c r="B878" s="3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  <c r="P878">
        <f>Table1_2[[#This Row],[Quantity]]*Table1_2[[#This Row],[UnitPrice]]</f>
        <v>3044.5499999999997</v>
      </c>
      <c r="Q878" t="s">
        <v>2090</v>
      </c>
      <c r="R878" t="str">
        <f t="shared" si="13"/>
        <v>Outlier</v>
      </c>
    </row>
    <row r="879" spans="1:18" x14ac:dyDescent="0.3">
      <c r="A879" t="s">
        <v>891</v>
      </c>
      <c r="B879" s="3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  <c r="P879">
        <f>Table1_2[[#This Row],[Quantity]]*Table1_2[[#This Row],[UnitPrice]]</f>
        <v>524.05999999999995</v>
      </c>
      <c r="Q879" t="s">
        <v>2091</v>
      </c>
      <c r="R879" t="str">
        <f t="shared" si="13"/>
        <v>Normal</v>
      </c>
    </row>
    <row r="880" spans="1:18" x14ac:dyDescent="0.3">
      <c r="A880" t="s">
        <v>892</v>
      </c>
      <c r="B880" s="3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  <c r="P880">
        <f>Table1_2[[#This Row],[Quantity]]*Table1_2[[#This Row],[UnitPrice]]</f>
        <v>661.38</v>
      </c>
      <c r="Q880" t="s">
        <v>2092</v>
      </c>
      <c r="R880" t="str">
        <f t="shared" si="13"/>
        <v>Normal</v>
      </c>
    </row>
    <row r="881" spans="1:18" x14ac:dyDescent="0.3">
      <c r="A881" t="s">
        <v>893</v>
      </c>
      <c r="B881" s="3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4303</v>
      </c>
      <c r="M881" t="s">
        <v>4278</v>
      </c>
      <c r="N881">
        <v>1095.3399999999999</v>
      </c>
      <c r="P881">
        <f>Table1_2[[#This Row],[Quantity]]*Table1_2[[#This Row],[UnitPrice]]</f>
        <v>1095.3399999999999</v>
      </c>
      <c r="Q881" t="s">
        <v>2093</v>
      </c>
      <c r="R881" t="str">
        <f t="shared" si="13"/>
        <v>Normal</v>
      </c>
    </row>
    <row r="882" spans="1:18" x14ac:dyDescent="0.3">
      <c r="A882" t="s">
        <v>894</v>
      </c>
      <c r="B882" s="3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  <c r="P882">
        <f>Table1_2[[#This Row],[Quantity]]*Table1_2[[#This Row],[UnitPrice]]</f>
        <v>934.8</v>
      </c>
      <c r="Q882" t="s">
        <v>2094</v>
      </c>
      <c r="R882" t="str">
        <f t="shared" si="13"/>
        <v>Normal</v>
      </c>
    </row>
    <row r="883" spans="1:18" x14ac:dyDescent="0.3">
      <c r="A883" t="s">
        <v>895</v>
      </c>
      <c r="B883" s="3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4303</v>
      </c>
      <c r="M883" t="s">
        <v>4278</v>
      </c>
      <c r="N883">
        <v>897.7</v>
      </c>
      <c r="P883">
        <f>Table1_2[[#This Row],[Quantity]]*Table1_2[[#This Row],[UnitPrice]]</f>
        <v>897.7</v>
      </c>
      <c r="Q883" t="s">
        <v>2095</v>
      </c>
      <c r="R883" t="str">
        <f t="shared" si="13"/>
        <v>Normal</v>
      </c>
    </row>
    <row r="884" spans="1:18" x14ac:dyDescent="0.3">
      <c r="A884" t="s">
        <v>896</v>
      </c>
      <c r="B884" s="3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  <c r="P884">
        <f>Table1_2[[#This Row],[Quantity]]*Table1_2[[#This Row],[UnitPrice]]</f>
        <v>548.24</v>
      </c>
      <c r="Q884" t="s">
        <v>2096</v>
      </c>
      <c r="R884" t="str">
        <f t="shared" si="13"/>
        <v>Normal</v>
      </c>
    </row>
    <row r="885" spans="1:18" x14ac:dyDescent="0.3">
      <c r="A885" t="s">
        <v>897</v>
      </c>
      <c r="B885" s="3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  <c r="P885">
        <f>Table1_2[[#This Row],[Quantity]]*Table1_2[[#This Row],[UnitPrice]]</f>
        <v>2807.4</v>
      </c>
      <c r="Q885" t="s">
        <v>2097</v>
      </c>
      <c r="R885" t="str">
        <f t="shared" si="13"/>
        <v>Outlier</v>
      </c>
    </row>
    <row r="886" spans="1:18" x14ac:dyDescent="0.3">
      <c r="A886" t="s">
        <v>898</v>
      </c>
      <c r="B886" s="3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4303</v>
      </c>
      <c r="M886" t="s">
        <v>4278</v>
      </c>
      <c r="N886">
        <v>595.54</v>
      </c>
      <c r="P886">
        <f>Table1_2[[#This Row],[Quantity]]*Table1_2[[#This Row],[UnitPrice]]</f>
        <v>595.54</v>
      </c>
      <c r="Q886" t="s">
        <v>2098</v>
      </c>
      <c r="R886" t="str">
        <f t="shared" si="13"/>
        <v>Normal</v>
      </c>
    </row>
    <row r="887" spans="1:18" x14ac:dyDescent="0.3">
      <c r="A887" t="s">
        <v>899</v>
      </c>
      <c r="B887" s="3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  <c r="P887">
        <f>Table1_2[[#This Row],[Quantity]]*Table1_2[[#This Row],[UnitPrice]]</f>
        <v>2062.36</v>
      </c>
      <c r="Q887" t="s">
        <v>2099</v>
      </c>
      <c r="R887" t="str">
        <f t="shared" si="13"/>
        <v>Normal</v>
      </c>
    </row>
    <row r="888" spans="1:18" x14ac:dyDescent="0.3">
      <c r="A888" t="s">
        <v>900</v>
      </c>
      <c r="B888" s="3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4303</v>
      </c>
      <c r="M888" t="s">
        <v>4282</v>
      </c>
      <c r="N888">
        <v>460.13</v>
      </c>
      <c r="P888">
        <f>Table1_2[[#This Row],[Quantity]]*Table1_2[[#This Row],[UnitPrice]]</f>
        <v>460.13</v>
      </c>
      <c r="Q888" t="s">
        <v>2100</v>
      </c>
      <c r="R888" t="str">
        <f t="shared" si="13"/>
        <v>Normal</v>
      </c>
    </row>
    <row r="889" spans="1:18" x14ac:dyDescent="0.3">
      <c r="A889" t="s">
        <v>901</v>
      </c>
      <c r="B889" s="3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4303</v>
      </c>
      <c r="M889" t="s">
        <v>4282</v>
      </c>
      <c r="N889">
        <v>514.98</v>
      </c>
      <c r="P889">
        <f>Table1_2[[#This Row],[Quantity]]*Table1_2[[#This Row],[UnitPrice]]</f>
        <v>514.98</v>
      </c>
      <c r="Q889" t="s">
        <v>2101</v>
      </c>
      <c r="R889" t="str">
        <f t="shared" si="13"/>
        <v>Normal</v>
      </c>
    </row>
    <row r="890" spans="1:18" x14ac:dyDescent="0.3">
      <c r="A890" t="s">
        <v>902</v>
      </c>
      <c r="B890" s="3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4303</v>
      </c>
      <c r="M890" t="s">
        <v>4278</v>
      </c>
      <c r="N890">
        <v>533.9</v>
      </c>
      <c r="P890">
        <f>Table1_2[[#This Row],[Quantity]]*Table1_2[[#This Row],[UnitPrice]]</f>
        <v>533.9</v>
      </c>
      <c r="Q890" t="s">
        <v>2102</v>
      </c>
      <c r="R890" t="str">
        <f t="shared" si="13"/>
        <v>Normal</v>
      </c>
    </row>
    <row r="891" spans="1:18" x14ac:dyDescent="0.3">
      <c r="A891" t="s">
        <v>903</v>
      </c>
      <c r="B891" s="3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  <c r="P891">
        <f>Table1_2[[#This Row],[Quantity]]*Table1_2[[#This Row],[UnitPrice]]</f>
        <v>3253.6000000000004</v>
      </c>
      <c r="Q891" t="s">
        <v>2103</v>
      </c>
      <c r="R891" t="str">
        <f t="shared" si="13"/>
        <v>Outlier</v>
      </c>
    </row>
    <row r="892" spans="1:18" x14ac:dyDescent="0.3">
      <c r="A892" t="s">
        <v>904</v>
      </c>
      <c r="B892" s="3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4303</v>
      </c>
      <c r="M892" t="s">
        <v>4282</v>
      </c>
      <c r="N892">
        <v>1318.59</v>
      </c>
      <c r="P892">
        <f>Table1_2[[#This Row],[Quantity]]*Table1_2[[#This Row],[UnitPrice]]</f>
        <v>1318.59</v>
      </c>
      <c r="Q892" t="s">
        <v>2104</v>
      </c>
      <c r="R892" t="str">
        <f t="shared" si="13"/>
        <v>Normal</v>
      </c>
    </row>
    <row r="893" spans="1:18" x14ac:dyDescent="0.3">
      <c r="A893" t="s">
        <v>905</v>
      </c>
      <c r="B893" s="3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  <c r="P893">
        <f>Table1_2[[#This Row],[Quantity]]*Table1_2[[#This Row],[UnitPrice]]</f>
        <v>1963.62</v>
      </c>
      <c r="Q893" t="s">
        <v>2105</v>
      </c>
      <c r="R893" t="str">
        <f t="shared" si="13"/>
        <v>Normal</v>
      </c>
    </row>
    <row r="894" spans="1:18" x14ac:dyDescent="0.3">
      <c r="A894" t="s">
        <v>906</v>
      </c>
      <c r="B894" s="3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  <c r="P894">
        <f>Table1_2[[#This Row],[Quantity]]*Table1_2[[#This Row],[UnitPrice]]</f>
        <v>394.53</v>
      </c>
      <c r="Q894" t="s">
        <v>2106</v>
      </c>
      <c r="R894" t="str">
        <f t="shared" si="13"/>
        <v>Normal</v>
      </c>
    </row>
    <row r="895" spans="1:18" x14ac:dyDescent="0.3">
      <c r="A895" t="s">
        <v>907</v>
      </c>
      <c r="B895" s="3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  <c r="P895">
        <f>Table1_2[[#This Row],[Quantity]]*Table1_2[[#This Row],[UnitPrice]]</f>
        <v>678.01</v>
      </c>
      <c r="Q895" t="s">
        <v>2107</v>
      </c>
      <c r="R895" t="str">
        <f t="shared" si="13"/>
        <v>Normal</v>
      </c>
    </row>
    <row r="896" spans="1:18" x14ac:dyDescent="0.3">
      <c r="A896" t="s">
        <v>908</v>
      </c>
      <c r="B896" s="3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  <c r="P896">
        <f>Table1_2[[#This Row],[Quantity]]*Table1_2[[#This Row],[UnitPrice]]</f>
        <v>1725.03</v>
      </c>
      <c r="Q896" t="s">
        <v>2108</v>
      </c>
      <c r="R896" t="str">
        <f t="shared" si="13"/>
        <v>Normal</v>
      </c>
    </row>
    <row r="897" spans="1:18" x14ac:dyDescent="0.3">
      <c r="A897" t="s">
        <v>909</v>
      </c>
      <c r="B897" s="3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  <c r="P897">
        <f>Table1_2[[#This Row],[Quantity]]*Table1_2[[#This Row],[UnitPrice]]</f>
        <v>463.91999999999996</v>
      </c>
      <c r="Q897" t="s">
        <v>2109</v>
      </c>
      <c r="R897" t="str">
        <f t="shared" si="13"/>
        <v>Normal</v>
      </c>
    </row>
    <row r="898" spans="1:18" x14ac:dyDescent="0.3">
      <c r="A898" t="s">
        <v>910</v>
      </c>
      <c r="B898" s="3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  <c r="P898">
        <f>Table1_2[[#This Row],[Quantity]]*Table1_2[[#This Row],[UnitPrice]]</f>
        <v>441.87</v>
      </c>
      <c r="Q898" t="s">
        <v>2110</v>
      </c>
      <c r="R898" t="str">
        <f t="shared" si="13"/>
        <v>Normal</v>
      </c>
    </row>
    <row r="899" spans="1:18" x14ac:dyDescent="0.3">
      <c r="A899" t="s">
        <v>911</v>
      </c>
      <c r="B899" s="3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  <c r="P899">
        <f>Table1_2[[#This Row],[Quantity]]*Table1_2[[#This Row],[UnitPrice]]</f>
        <v>1925.92</v>
      </c>
      <c r="Q899" t="s">
        <v>2111</v>
      </c>
      <c r="R899" t="str">
        <f t="shared" ref="R899:R962" si="14">IF(OR(N899&lt;$S$2-1.5*($T$2-$S$2),N899&gt;$S$2+1.5*($T$2-$S$2)), "Outlier", "Normal")</f>
        <v>Normal</v>
      </c>
    </row>
    <row r="900" spans="1:18" x14ac:dyDescent="0.3">
      <c r="A900" t="s">
        <v>912</v>
      </c>
      <c r="B900" s="3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4303</v>
      </c>
      <c r="M900" t="s">
        <v>4279</v>
      </c>
      <c r="N900">
        <v>475.11</v>
      </c>
      <c r="P900">
        <f>Table1_2[[#This Row],[Quantity]]*Table1_2[[#This Row],[UnitPrice]]</f>
        <v>475.11</v>
      </c>
      <c r="Q900" t="s">
        <v>2112</v>
      </c>
      <c r="R900" t="str">
        <f t="shared" si="14"/>
        <v>Normal</v>
      </c>
    </row>
    <row r="901" spans="1:18" x14ac:dyDescent="0.3">
      <c r="A901" t="s">
        <v>913</v>
      </c>
      <c r="B901" s="3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  <c r="P901">
        <f>Table1_2[[#This Row],[Quantity]]*Table1_2[[#This Row],[UnitPrice]]</f>
        <v>646.74</v>
      </c>
      <c r="Q901" t="s">
        <v>2113</v>
      </c>
      <c r="R901" t="str">
        <f t="shared" si="14"/>
        <v>Normal</v>
      </c>
    </row>
    <row r="902" spans="1:18" x14ac:dyDescent="0.3">
      <c r="A902" t="s">
        <v>914</v>
      </c>
      <c r="B902" s="3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4303</v>
      </c>
      <c r="M902" t="s">
        <v>4278</v>
      </c>
      <c r="N902">
        <v>369.15</v>
      </c>
      <c r="P902">
        <f>Table1_2[[#This Row],[Quantity]]*Table1_2[[#This Row],[UnitPrice]]</f>
        <v>369.15</v>
      </c>
      <c r="Q902" t="s">
        <v>2114</v>
      </c>
      <c r="R902" t="str">
        <f t="shared" si="14"/>
        <v>Normal</v>
      </c>
    </row>
    <row r="903" spans="1:18" x14ac:dyDescent="0.3">
      <c r="A903" t="s">
        <v>915</v>
      </c>
      <c r="B903" s="3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  <c r="P903">
        <f>Table1_2[[#This Row],[Quantity]]*Table1_2[[#This Row],[UnitPrice]]</f>
        <v>458.63</v>
      </c>
      <c r="Q903" t="s">
        <v>2115</v>
      </c>
      <c r="R903" t="str">
        <f t="shared" si="14"/>
        <v>Normal</v>
      </c>
    </row>
    <row r="904" spans="1:18" x14ac:dyDescent="0.3">
      <c r="A904" t="s">
        <v>916</v>
      </c>
      <c r="B904" s="3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4303</v>
      </c>
      <c r="M904" t="s">
        <v>4281</v>
      </c>
      <c r="N904">
        <v>721</v>
      </c>
      <c r="P904">
        <f>Table1_2[[#This Row],[Quantity]]*Table1_2[[#This Row],[UnitPrice]]</f>
        <v>721</v>
      </c>
      <c r="Q904" t="s">
        <v>2116</v>
      </c>
      <c r="R904" t="str">
        <f t="shared" si="14"/>
        <v>Normal</v>
      </c>
    </row>
    <row r="905" spans="1:18" x14ac:dyDescent="0.3">
      <c r="A905" t="s">
        <v>917</v>
      </c>
      <c r="B905" s="3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4303</v>
      </c>
      <c r="M905" t="s">
        <v>4280</v>
      </c>
      <c r="N905">
        <v>1420.47</v>
      </c>
      <c r="P905">
        <f>Table1_2[[#This Row],[Quantity]]*Table1_2[[#This Row],[UnitPrice]]</f>
        <v>1420.47</v>
      </c>
      <c r="Q905" t="s">
        <v>2117</v>
      </c>
      <c r="R905" t="str">
        <f t="shared" si="14"/>
        <v>Normal</v>
      </c>
    </row>
    <row r="906" spans="1:18" x14ac:dyDescent="0.3">
      <c r="A906" t="s">
        <v>918</v>
      </c>
      <c r="B906" s="3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  <c r="P906">
        <f>Table1_2[[#This Row],[Quantity]]*Table1_2[[#This Row],[UnitPrice]]</f>
        <v>949.72</v>
      </c>
      <c r="Q906" t="s">
        <v>2118</v>
      </c>
      <c r="R906" t="str">
        <f t="shared" si="14"/>
        <v>Normal</v>
      </c>
    </row>
    <row r="907" spans="1:18" x14ac:dyDescent="0.3">
      <c r="A907" t="s">
        <v>919</v>
      </c>
      <c r="B907" s="3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  <c r="P907">
        <f>Table1_2[[#This Row],[Quantity]]*Table1_2[[#This Row],[UnitPrice]]</f>
        <v>442.39</v>
      </c>
      <c r="Q907" t="s">
        <v>2119</v>
      </c>
      <c r="R907" t="str">
        <f t="shared" si="14"/>
        <v>Normal</v>
      </c>
    </row>
    <row r="908" spans="1:18" x14ac:dyDescent="0.3">
      <c r="A908" t="s">
        <v>920</v>
      </c>
      <c r="B908" s="3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4303</v>
      </c>
      <c r="M908" t="s">
        <v>4280</v>
      </c>
      <c r="N908">
        <v>62.12</v>
      </c>
      <c r="P908">
        <f>Table1_2[[#This Row],[Quantity]]*Table1_2[[#This Row],[UnitPrice]]</f>
        <v>62.12</v>
      </c>
      <c r="Q908" t="s">
        <v>2120</v>
      </c>
      <c r="R908" t="str">
        <f t="shared" si="14"/>
        <v>Normal</v>
      </c>
    </row>
    <row r="909" spans="1:18" x14ac:dyDescent="0.3">
      <c r="A909" t="s">
        <v>921</v>
      </c>
      <c r="B909" s="3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  <c r="P909">
        <f>Table1_2[[#This Row],[Quantity]]*Table1_2[[#This Row],[UnitPrice]]</f>
        <v>1491.9499999999998</v>
      </c>
      <c r="Q909" t="s">
        <v>2121</v>
      </c>
      <c r="R909" t="str">
        <f t="shared" si="14"/>
        <v>Normal</v>
      </c>
    </row>
    <row r="910" spans="1:18" x14ac:dyDescent="0.3">
      <c r="A910" t="s">
        <v>922</v>
      </c>
      <c r="B910" s="3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  <c r="P910">
        <f>Table1_2[[#This Row],[Quantity]]*Table1_2[[#This Row],[UnitPrice]]</f>
        <v>1395.86</v>
      </c>
      <c r="Q910" t="s">
        <v>2122</v>
      </c>
      <c r="R910" t="str">
        <f t="shared" si="14"/>
        <v>Normal</v>
      </c>
    </row>
    <row r="911" spans="1:18" x14ac:dyDescent="0.3">
      <c r="A911" t="s">
        <v>923</v>
      </c>
      <c r="B911" s="3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  <c r="P911">
        <f>Table1_2[[#This Row],[Quantity]]*Table1_2[[#This Row],[UnitPrice]]</f>
        <v>583.70000000000005</v>
      </c>
      <c r="Q911" t="s">
        <v>2123</v>
      </c>
      <c r="R911" t="str">
        <f t="shared" si="14"/>
        <v>Normal</v>
      </c>
    </row>
    <row r="912" spans="1:18" x14ac:dyDescent="0.3">
      <c r="A912" t="s">
        <v>924</v>
      </c>
      <c r="B912" s="3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  <c r="P912">
        <f>Table1_2[[#This Row],[Quantity]]*Table1_2[[#This Row],[UnitPrice]]</f>
        <v>926.94</v>
      </c>
      <c r="Q912" t="s">
        <v>2124</v>
      </c>
      <c r="R912" t="str">
        <f t="shared" si="14"/>
        <v>Normal</v>
      </c>
    </row>
    <row r="913" spans="1:18" x14ac:dyDescent="0.3">
      <c r="A913" t="s">
        <v>925</v>
      </c>
      <c r="B913" s="3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  <c r="P913">
        <f>Table1_2[[#This Row],[Quantity]]*Table1_2[[#This Row],[UnitPrice]]</f>
        <v>1984.3000000000002</v>
      </c>
      <c r="Q913" t="s">
        <v>2125</v>
      </c>
      <c r="R913" t="str">
        <f t="shared" si="14"/>
        <v>Normal</v>
      </c>
    </row>
    <row r="914" spans="1:18" x14ac:dyDescent="0.3">
      <c r="A914" t="s">
        <v>926</v>
      </c>
      <c r="B914" s="3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  <c r="P914">
        <f>Table1_2[[#This Row],[Quantity]]*Table1_2[[#This Row],[UnitPrice]]</f>
        <v>279.38</v>
      </c>
      <c r="Q914" t="s">
        <v>2126</v>
      </c>
      <c r="R914" t="str">
        <f t="shared" si="14"/>
        <v>Normal</v>
      </c>
    </row>
    <row r="915" spans="1:18" x14ac:dyDescent="0.3">
      <c r="A915" t="s">
        <v>927</v>
      </c>
      <c r="B915" s="3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  <c r="P915">
        <f>Table1_2[[#This Row],[Quantity]]*Table1_2[[#This Row],[UnitPrice]]</f>
        <v>2379.75</v>
      </c>
      <c r="Q915" t="s">
        <v>2127</v>
      </c>
      <c r="R915" t="str">
        <f t="shared" si="14"/>
        <v>Outlier</v>
      </c>
    </row>
    <row r="916" spans="1:18" x14ac:dyDescent="0.3">
      <c r="A916" t="s">
        <v>928</v>
      </c>
      <c r="B916" s="3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  <c r="P916">
        <f>Table1_2[[#This Row],[Quantity]]*Table1_2[[#This Row],[UnitPrice]]</f>
        <v>626.6</v>
      </c>
      <c r="Q916" t="s">
        <v>2128</v>
      </c>
      <c r="R916" t="str">
        <f t="shared" si="14"/>
        <v>Normal</v>
      </c>
    </row>
    <row r="917" spans="1:18" x14ac:dyDescent="0.3">
      <c r="A917" t="s">
        <v>929</v>
      </c>
      <c r="B917" s="3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  <c r="P917">
        <f>Table1_2[[#This Row],[Quantity]]*Table1_2[[#This Row],[UnitPrice]]</f>
        <v>2011.96</v>
      </c>
      <c r="Q917" t="s">
        <v>2129</v>
      </c>
      <c r="R917" t="str">
        <f t="shared" si="14"/>
        <v>Normal</v>
      </c>
    </row>
    <row r="918" spans="1:18" x14ac:dyDescent="0.3">
      <c r="A918" t="s">
        <v>930</v>
      </c>
      <c r="B918" s="3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4303</v>
      </c>
      <c r="M918" t="s">
        <v>4279</v>
      </c>
      <c r="N918">
        <v>2894.15</v>
      </c>
      <c r="P918">
        <f>Table1_2[[#This Row],[Quantity]]*Table1_2[[#This Row],[UnitPrice]]</f>
        <v>2894.15</v>
      </c>
      <c r="Q918" t="s">
        <v>2130</v>
      </c>
      <c r="R918" t="str">
        <f t="shared" si="14"/>
        <v>Outlier</v>
      </c>
    </row>
    <row r="919" spans="1:18" x14ac:dyDescent="0.3">
      <c r="A919" t="s">
        <v>931</v>
      </c>
      <c r="B919" s="3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  <c r="P919">
        <f>Table1_2[[#This Row],[Quantity]]*Table1_2[[#This Row],[UnitPrice]]</f>
        <v>1919.1</v>
      </c>
      <c r="Q919" t="s">
        <v>2131</v>
      </c>
      <c r="R919" t="str">
        <f t="shared" si="14"/>
        <v>Normal</v>
      </c>
    </row>
    <row r="920" spans="1:18" x14ac:dyDescent="0.3">
      <c r="A920" t="s">
        <v>932</v>
      </c>
      <c r="B920" s="3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4303</v>
      </c>
      <c r="M920" t="s">
        <v>4278</v>
      </c>
      <c r="N920">
        <v>1841.25</v>
      </c>
      <c r="P920">
        <f>Table1_2[[#This Row],[Quantity]]*Table1_2[[#This Row],[UnitPrice]]</f>
        <v>1841.25</v>
      </c>
      <c r="Q920" t="s">
        <v>2132</v>
      </c>
      <c r="R920" t="str">
        <f t="shared" si="14"/>
        <v>Normal</v>
      </c>
    </row>
    <row r="921" spans="1:18" x14ac:dyDescent="0.3">
      <c r="A921" t="s">
        <v>933</v>
      </c>
      <c r="B921" s="3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  <c r="P921">
        <f>Table1_2[[#This Row],[Quantity]]*Table1_2[[#This Row],[UnitPrice]]</f>
        <v>749.2</v>
      </c>
      <c r="Q921" t="s">
        <v>2133</v>
      </c>
      <c r="R921" t="str">
        <f t="shared" si="14"/>
        <v>Normal</v>
      </c>
    </row>
    <row r="922" spans="1:18" x14ac:dyDescent="0.3">
      <c r="A922" t="s">
        <v>934</v>
      </c>
      <c r="B922" s="3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4303</v>
      </c>
      <c r="M922" t="s">
        <v>4278</v>
      </c>
      <c r="N922">
        <v>856.18</v>
      </c>
      <c r="P922">
        <f>Table1_2[[#This Row],[Quantity]]*Table1_2[[#This Row],[UnitPrice]]</f>
        <v>856.18</v>
      </c>
      <c r="Q922" t="s">
        <v>2134</v>
      </c>
      <c r="R922" t="str">
        <f t="shared" si="14"/>
        <v>Normal</v>
      </c>
    </row>
    <row r="923" spans="1:18" x14ac:dyDescent="0.3">
      <c r="A923" t="s">
        <v>935</v>
      </c>
      <c r="B923" s="3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  <c r="P923">
        <f>Table1_2[[#This Row],[Quantity]]*Table1_2[[#This Row],[UnitPrice]]</f>
        <v>438.93</v>
      </c>
      <c r="Q923" t="s">
        <v>2135</v>
      </c>
      <c r="R923" t="str">
        <f t="shared" si="14"/>
        <v>Normal</v>
      </c>
    </row>
    <row r="924" spans="1:18" x14ac:dyDescent="0.3">
      <c r="A924" t="s">
        <v>936</v>
      </c>
      <c r="B924" s="3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4303</v>
      </c>
      <c r="M924" t="s">
        <v>4278</v>
      </c>
      <c r="N924">
        <v>1127.6400000000001</v>
      </c>
      <c r="P924">
        <f>Table1_2[[#This Row],[Quantity]]*Table1_2[[#This Row],[UnitPrice]]</f>
        <v>1127.6400000000001</v>
      </c>
      <c r="Q924" t="s">
        <v>2136</v>
      </c>
      <c r="R924" t="str">
        <f t="shared" si="14"/>
        <v>Normal</v>
      </c>
    </row>
    <row r="925" spans="1:18" x14ac:dyDescent="0.3">
      <c r="A925" t="s">
        <v>937</v>
      </c>
      <c r="B925" s="3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  <c r="P925">
        <f>Table1_2[[#This Row],[Quantity]]*Table1_2[[#This Row],[UnitPrice]]</f>
        <v>1949.79</v>
      </c>
      <c r="Q925" t="s">
        <v>2137</v>
      </c>
      <c r="R925" t="str">
        <f t="shared" si="14"/>
        <v>Normal</v>
      </c>
    </row>
    <row r="926" spans="1:18" x14ac:dyDescent="0.3">
      <c r="A926" t="s">
        <v>938</v>
      </c>
      <c r="B926" s="3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  <c r="P926">
        <f>Table1_2[[#This Row],[Quantity]]*Table1_2[[#This Row],[UnitPrice]]</f>
        <v>1342.15</v>
      </c>
      <c r="Q926" t="s">
        <v>2138</v>
      </c>
      <c r="R926" t="str">
        <f t="shared" si="14"/>
        <v>Normal</v>
      </c>
    </row>
    <row r="927" spans="1:18" x14ac:dyDescent="0.3">
      <c r="A927" t="s">
        <v>939</v>
      </c>
      <c r="B927" s="3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  <c r="P927">
        <f>Table1_2[[#This Row],[Quantity]]*Table1_2[[#This Row],[UnitPrice]]</f>
        <v>2512.3500000000004</v>
      </c>
      <c r="Q927" t="s">
        <v>2139</v>
      </c>
      <c r="R927" t="str">
        <f t="shared" si="14"/>
        <v>Outlier</v>
      </c>
    </row>
    <row r="928" spans="1:18" x14ac:dyDescent="0.3">
      <c r="A928" t="s">
        <v>940</v>
      </c>
      <c r="B928" s="3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  <c r="P928">
        <f>Table1_2[[#This Row],[Quantity]]*Table1_2[[#This Row],[UnitPrice]]</f>
        <v>26.95</v>
      </c>
      <c r="Q928" t="s">
        <v>2140</v>
      </c>
      <c r="R928" t="str">
        <f t="shared" si="14"/>
        <v>Normal</v>
      </c>
    </row>
    <row r="929" spans="1:18" x14ac:dyDescent="0.3">
      <c r="A929" t="s">
        <v>941</v>
      </c>
      <c r="B929" s="3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  <c r="P929">
        <f>Table1_2[[#This Row],[Quantity]]*Table1_2[[#This Row],[UnitPrice]]</f>
        <v>258.76</v>
      </c>
      <c r="Q929" t="s">
        <v>2141</v>
      </c>
      <c r="R929" t="str">
        <f t="shared" si="14"/>
        <v>Normal</v>
      </c>
    </row>
    <row r="930" spans="1:18" x14ac:dyDescent="0.3">
      <c r="A930" t="s">
        <v>942</v>
      </c>
      <c r="B930" s="3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  <c r="P930">
        <f>Table1_2[[#This Row],[Quantity]]*Table1_2[[#This Row],[UnitPrice]]</f>
        <v>741.33</v>
      </c>
      <c r="Q930" t="s">
        <v>2142</v>
      </c>
      <c r="R930" t="str">
        <f t="shared" si="14"/>
        <v>Normal</v>
      </c>
    </row>
    <row r="931" spans="1:18" x14ac:dyDescent="0.3">
      <c r="A931" t="s">
        <v>943</v>
      </c>
      <c r="B931" s="3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4303</v>
      </c>
      <c r="M931" t="s">
        <v>4280</v>
      </c>
      <c r="N931">
        <v>1072.5</v>
      </c>
      <c r="P931">
        <f>Table1_2[[#This Row],[Quantity]]*Table1_2[[#This Row],[UnitPrice]]</f>
        <v>1072.5</v>
      </c>
      <c r="Q931" t="s">
        <v>2143</v>
      </c>
      <c r="R931" t="str">
        <f t="shared" si="14"/>
        <v>Normal</v>
      </c>
    </row>
    <row r="932" spans="1:18" x14ac:dyDescent="0.3">
      <c r="A932" t="s">
        <v>944</v>
      </c>
      <c r="B932" s="3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  <c r="P932">
        <f>Table1_2[[#This Row],[Quantity]]*Table1_2[[#This Row],[UnitPrice]]</f>
        <v>912.08</v>
      </c>
      <c r="Q932" t="s">
        <v>2144</v>
      </c>
      <c r="R932" t="str">
        <f t="shared" si="14"/>
        <v>Normal</v>
      </c>
    </row>
    <row r="933" spans="1:18" x14ac:dyDescent="0.3">
      <c r="A933" t="s">
        <v>945</v>
      </c>
      <c r="B933" s="3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  <c r="P933">
        <f>Table1_2[[#This Row],[Quantity]]*Table1_2[[#This Row],[UnitPrice]]</f>
        <v>80.459999999999994</v>
      </c>
      <c r="Q933" t="s">
        <v>2145</v>
      </c>
      <c r="R933" t="str">
        <f t="shared" si="14"/>
        <v>Normal</v>
      </c>
    </row>
    <row r="934" spans="1:18" x14ac:dyDescent="0.3">
      <c r="A934" t="s">
        <v>946</v>
      </c>
      <c r="B934" s="3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  <c r="P934">
        <f>Table1_2[[#This Row],[Quantity]]*Table1_2[[#This Row],[UnitPrice]]</f>
        <v>144.78</v>
      </c>
      <c r="Q934" t="s">
        <v>2146</v>
      </c>
      <c r="R934" t="str">
        <f t="shared" si="14"/>
        <v>Normal</v>
      </c>
    </row>
    <row r="935" spans="1:18" x14ac:dyDescent="0.3">
      <c r="A935" t="s">
        <v>947</v>
      </c>
      <c r="B935" s="3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4303</v>
      </c>
      <c r="M935" t="s">
        <v>4279</v>
      </c>
      <c r="N935">
        <v>788.32</v>
      </c>
      <c r="P935">
        <f>Table1_2[[#This Row],[Quantity]]*Table1_2[[#This Row],[UnitPrice]]</f>
        <v>788.32</v>
      </c>
      <c r="Q935" t="s">
        <v>2147</v>
      </c>
      <c r="R935" t="str">
        <f t="shared" si="14"/>
        <v>Normal</v>
      </c>
    </row>
    <row r="936" spans="1:18" x14ac:dyDescent="0.3">
      <c r="A936" t="s">
        <v>948</v>
      </c>
      <c r="B936" s="3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  <c r="P936">
        <f>Table1_2[[#This Row],[Quantity]]*Table1_2[[#This Row],[UnitPrice]]</f>
        <v>479.36</v>
      </c>
      <c r="Q936" t="s">
        <v>2148</v>
      </c>
      <c r="R936" t="str">
        <f t="shared" si="14"/>
        <v>Normal</v>
      </c>
    </row>
    <row r="937" spans="1:18" x14ac:dyDescent="0.3">
      <c r="A937" t="s">
        <v>949</v>
      </c>
      <c r="B937" s="3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  <c r="P937">
        <f>Table1_2[[#This Row],[Quantity]]*Table1_2[[#This Row],[UnitPrice]]</f>
        <v>2078.13</v>
      </c>
      <c r="Q937" t="s">
        <v>2149</v>
      </c>
      <c r="R937" t="str">
        <f t="shared" si="14"/>
        <v>Normal</v>
      </c>
    </row>
    <row r="938" spans="1:18" x14ac:dyDescent="0.3">
      <c r="A938" t="s">
        <v>950</v>
      </c>
      <c r="B938" s="3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  <c r="P938">
        <f>Table1_2[[#This Row],[Quantity]]*Table1_2[[#This Row],[UnitPrice]]</f>
        <v>226.64</v>
      </c>
      <c r="Q938" t="s">
        <v>2150</v>
      </c>
      <c r="R938" t="str">
        <f t="shared" si="14"/>
        <v>Normal</v>
      </c>
    </row>
    <row r="939" spans="1:18" x14ac:dyDescent="0.3">
      <c r="A939" t="s">
        <v>951</v>
      </c>
      <c r="B939" s="3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  <c r="P939">
        <f>Table1_2[[#This Row],[Quantity]]*Table1_2[[#This Row],[UnitPrice]]</f>
        <v>597.05999999999995</v>
      </c>
      <c r="Q939" t="s">
        <v>2151</v>
      </c>
      <c r="R939" t="str">
        <f t="shared" si="14"/>
        <v>Normal</v>
      </c>
    </row>
    <row r="940" spans="1:18" x14ac:dyDescent="0.3">
      <c r="A940" t="s">
        <v>952</v>
      </c>
      <c r="B940" s="3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  <c r="P940">
        <f>Table1_2[[#This Row],[Quantity]]*Table1_2[[#This Row],[UnitPrice]]</f>
        <v>994.37999999999988</v>
      </c>
      <c r="Q940" t="s">
        <v>2152</v>
      </c>
      <c r="R940" t="str">
        <f t="shared" si="14"/>
        <v>Normal</v>
      </c>
    </row>
    <row r="941" spans="1:18" x14ac:dyDescent="0.3">
      <c r="A941" t="s">
        <v>953</v>
      </c>
      <c r="B941" s="3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  <c r="P941">
        <f>Table1_2[[#This Row],[Quantity]]*Table1_2[[#This Row],[UnitPrice]]</f>
        <v>1042.8</v>
      </c>
      <c r="Q941" t="s">
        <v>2153</v>
      </c>
      <c r="R941" t="str">
        <f t="shared" si="14"/>
        <v>Normal</v>
      </c>
    </row>
    <row r="942" spans="1:18" x14ac:dyDescent="0.3">
      <c r="A942" t="s">
        <v>954</v>
      </c>
      <c r="B942" s="3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  <c r="P942">
        <f>Table1_2[[#This Row],[Quantity]]*Table1_2[[#This Row],[UnitPrice]]</f>
        <v>1221.28</v>
      </c>
      <c r="Q942" t="s">
        <v>2154</v>
      </c>
      <c r="R942" t="str">
        <f t="shared" si="14"/>
        <v>Normal</v>
      </c>
    </row>
    <row r="943" spans="1:18" x14ac:dyDescent="0.3">
      <c r="A943" t="s">
        <v>955</v>
      </c>
      <c r="B943" s="3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  <c r="P943">
        <f>Table1_2[[#This Row],[Quantity]]*Table1_2[[#This Row],[UnitPrice]]</f>
        <v>558.5</v>
      </c>
      <c r="Q943" t="s">
        <v>2155</v>
      </c>
      <c r="R943" t="str">
        <f t="shared" si="14"/>
        <v>Normal</v>
      </c>
    </row>
    <row r="944" spans="1:18" x14ac:dyDescent="0.3">
      <c r="A944" t="s">
        <v>956</v>
      </c>
      <c r="B944" s="3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4303</v>
      </c>
      <c r="M944" t="s">
        <v>4280</v>
      </c>
      <c r="N944">
        <v>479.76</v>
      </c>
      <c r="P944">
        <f>Table1_2[[#This Row],[Quantity]]*Table1_2[[#This Row],[UnitPrice]]</f>
        <v>479.76</v>
      </c>
      <c r="Q944" t="s">
        <v>2156</v>
      </c>
      <c r="R944" t="str">
        <f t="shared" si="14"/>
        <v>Normal</v>
      </c>
    </row>
    <row r="945" spans="1:18" x14ac:dyDescent="0.3">
      <c r="A945" t="s">
        <v>957</v>
      </c>
      <c r="B945" s="3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  <c r="P945">
        <f>Table1_2[[#This Row],[Quantity]]*Table1_2[[#This Row],[UnitPrice]]</f>
        <v>580.47</v>
      </c>
      <c r="Q945" t="s">
        <v>2157</v>
      </c>
      <c r="R945" t="str">
        <f t="shared" si="14"/>
        <v>Normal</v>
      </c>
    </row>
    <row r="946" spans="1:18" x14ac:dyDescent="0.3">
      <c r="A946" t="s">
        <v>958</v>
      </c>
      <c r="B946" s="3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  <c r="P946">
        <f>Table1_2[[#This Row],[Quantity]]*Table1_2[[#This Row],[UnitPrice]]</f>
        <v>852.44</v>
      </c>
      <c r="Q946" t="s">
        <v>2158</v>
      </c>
      <c r="R946" t="str">
        <f t="shared" si="14"/>
        <v>Normal</v>
      </c>
    </row>
    <row r="947" spans="1:18" x14ac:dyDescent="0.3">
      <c r="A947" t="s">
        <v>959</v>
      </c>
      <c r="B947" s="3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  <c r="P947">
        <f>Table1_2[[#This Row],[Quantity]]*Table1_2[[#This Row],[UnitPrice]]</f>
        <v>1382.2</v>
      </c>
      <c r="Q947" t="s">
        <v>2159</v>
      </c>
      <c r="R947" t="str">
        <f t="shared" si="14"/>
        <v>Normal</v>
      </c>
    </row>
    <row r="948" spans="1:18" x14ac:dyDescent="0.3">
      <c r="A948" t="s">
        <v>960</v>
      </c>
      <c r="B948" s="3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  <c r="P948">
        <f>Table1_2[[#This Row],[Quantity]]*Table1_2[[#This Row],[UnitPrice]]</f>
        <v>809.92</v>
      </c>
      <c r="Q948" t="s">
        <v>2160</v>
      </c>
      <c r="R948" t="str">
        <f t="shared" si="14"/>
        <v>Normal</v>
      </c>
    </row>
    <row r="949" spans="1:18" x14ac:dyDescent="0.3">
      <c r="A949" t="s">
        <v>961</v>
      </c>
      <c r="B949" s="3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  <c r="P949">
        <f>Table1_2[[#This Row],[Quantity]]*Table1_2[[#This Row],[UnitPrice]]</f>
        <v>1862.64</v>
      </c>
      <c r="Q949" t="s">
        <v>2161</v>
      </c>
      <c r="R949" t="str">
        <f t="shared" si="14"/>
        <v>Normal</v>
      </c>
    </row>
    <row r="950" spans="1:18" x14ac:dyDescent="0.3">
      <c r="A950" t="s">
        <v>962</v>
      </c>
      <c r="B950" s="3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4303</v>
      </c>
      <c r="M950" t="s">
        <v>4282</v>
      </c>
      <c r="N950">
        <v>1188.1400000000001</v>
      </c>
      <c r="P950">
        <f>Table1_2[[#This Row],[Quantity]]*Table1_2[[#This Row],[UnitPrice]]</f>
        <v>1188.1400000000001</v>
      </c>
      <c r="Q950" t="s">
        <v>2162</v>
      </c>
      <c r="R950" t="str">
        <f t="shared" si="14"/>
        <v>Normal</v>
      </c>
    </row>
    <row r="951" spans="1:18" x14ac:dyDescent="0.3">
      <c r="A951" t="s">
        <v>963</v>
      </c>
      <c r="B951" s="3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4303</v>
      </c>
      <c r="M951" t="s">
        <v>4279</v>
      </c>
      <c r="N951">
        <v>551.9</v>
      </c>
      <c r="P951">
        <f>Table1_2[[#This Row],[Quantity]]*Table1_2[[#This Row],[UnitPrice]]</f>
        <v>551.9</v>
      </c>
      <c r="Q951" t="s">
        <v>2163</v>
      </c>
      <c r="R951" t="str">
        <f t="shared" si="14"/>
        <v>Normal</v>
      </c>
    </row>
    <row r="952" spans="1:18" x14ac:dyDescent="0.3">
      <c r="A952" t="s">
        <v>964</v>
      </c>
      <c r="B952" s="3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  <c r="P952">
        <f>Table1_2[[#This Row],[Quantity]]*Table1_2[[#This Row],[UnitPrice]]</f>
        <v>596.24</v>
      </c>
      <c r="Q952" t="s">
        <v>2164</v>
      </c>
      <c r="R952" t="str">
        <f t="shared" si="14"/>
        <v>Normal</v>
      </c>
    </row>
    <row r="953" spans="1:18" x14ac:dyDescent="0.3">
      <c r="A953" t="s">
        <v>965</v>
      </c>
      <c r="B953" s="3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  <c r="P953">
        <f>Table1_2[[#This Row],[Quantity]]*Table1_2[[#This Row],[UnitPrice]]</f>
        <v>612.48</v>
      </c>
      <c r="Q953" t="s">
        <v>2165</v>
      </c>
      <c r="R953" t="str">
        <f t="shared" si="14"/>
        <v>Normal</v>
      </c>
    </row>
    <row r="954" spans="1:18" x14ac:dyDescent="0.3">
      <c r="A954" t="s">
        <v>966</v>
      </c>
      <c r="B954" s="3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4303</v>
      </c>
      <c r="M954" t="s">
        <v>4281</v>
      </c>
      <c r="N954">
        <v>1510.17</v>
      </c>
      <c r="P954">
        <f>Table1_2[[#This Row],[Quantity]]*Table1_2[[#This Row],[UnitPrice]]</f>
        <v>1510.17</v>
      </c>
      <c r="Q954" t="s">
        <v>2166</v>
      </c>
      <c r="R954" t="str">
        <f t="shared" si="14"/>
        <v>Normal</v>
      </c>
    </row>
    <row r="955" spans="1:18" x14ac:dyDescent="0.3">
      <c r="A955" t="s">
        <v>967</v>
      </c>
      <c r="B955" s="3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  <c r="P955">
        <f>Table1_2[[#This Row],[Quantity]]*Table1_2[[#This Row],[UnitPrice]]</f>
        <v>131.61000000000001</v>
      </c>
      <c r="Q955" t="s">
        <v>2167</v>
      </c>
      <c r="R955" t="str">
        <f t="shared" si="14"/>
        <v>Normal</v>
      </c>
    </row>
    <row r="956" spans="1:18" x14ac:dyDescent="0.3">
      <c r="A956" t="s">
        <v>968</v>
      </c>
      <c r="B956" s="3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  <c r="P956">
        <f>Table1_2[[#This Row],[Quantity]]*Table1_2[[#This Row],[UnitPrice]]</f>
        <v>1330.32</v>
      </c>
      <c r="Q956" t="s">
        <v>2168</v>
      </c>
      <c r="R956" t="str">
        <f t="shared" si="14"/>
        <v>Normal</v>
      </c>
    </row>
    <row r="957" spans="1:18" x14ac:dyDescent="0.3">
      <c r="A957" t="s">
        <v>969</v>
      </c>
      <c r="B957" s="3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  <c r="P957">
        <f>Table1_2[[#This Row],[Quantity]]*Table1_2[[#This Row],[UnitPrice]]</f>
        <v>408.13</v>
      </c>
      <c r="Q957" t="s">
        <v>2169</v>
      </c>
      <c r="R957" t="str">
        <f t="shared" si="14"/>
        <v>Normal</v>
      </c>
    </row>
    <row r="958" spans="1:18" x14ac:dyDescent="0.3">
      <c r="A958" t="s">
        <v>970</v>
      </c>
      <c r="B958" s="3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  <c r="P958">
        <f>Table1_2[[#This Row],[Quantity]]*Table1_2[[#This Row],[UnitPrice]]</f>
        <v>321.95999999999998</v>
      </c>
      <c r="Q958" t="s">
        <v>2170</v>
      </c>
      <c r="R958" t="str">
        <f t="shared" si="14"/>
        <v>Normal</v>
      </c>
    </row>
    <row r="959" spans="1:18" x14ac:dyDescent="0.3">
      <c r="A959" t="s">
        <v>971</v>
      </c>
      <c r="B959" s="3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  <c r="P959">
        <f>Table1_2[[#This Row],[Quantity]]*Table1_2[[#This Row],[UnitPrice]]</f>
        <v>3219.45</v>
      </c>
      <c r="Q959" t="s">
        <v>2171</v>
      </c>
      <c r="R959" t="str">
        <f t="shared" si="14"/>
        <v>Outlier</v>
      </c>
    </row>
    <row r="960" spans="1:18" x14ac:dyDescent="0.3">
      <c r="A960" t="s">
        <v>972</v>
      </c>
      <c r="B960" s="3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  <c r="P960">
        <f>Table1_2[[#This Row],[Quantity]]*Table1_2[[#This Row],[UnitPrice]]</f>
        <v>475.98</v>
      </c>
      <c r="Q960" t="s">
        <v>2172</v>
      </c>
      <c r="R960" t="str">
        <f t="shared" si="14"/>
        <v>Normal</v>
      </c>
    </row>
    <row r="961" spans="1:18" x14ac:dyDescent="0.3">
      <c r="A961" t="s">
        <v>973</v>
      </c>
      <c r="B961" s="3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  <c r="P961">
        <f>Table1_2[[#This Row],[Quantity]]*Table1_2[[#This Row],[UnitPrice]]</f>
        <v>287.64</v>
      </c>
      <c r="Q961" t="s">
        <v>2173</v>
      </c>
      <c r="R961" t="str">
        <f t="shared" si="14"/>
        <v>Normal</v>
      </c>
    </row>
    <row r="962" spans="1:18" x14ac:dyDescent="0.3">
      <c r="A962" t="s">
        <v>974</v>
      </c>
      <c r="B962" s="3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  <c r="P962">
        <f>Table1_2[[#This Row],[Quantity]]*Table1_2[[#This Row],[UnitPrice]]</f>
        <v>1137.21</v>
      </c>
      <c r="Q962" t="s">
        <v>2174</v>
      </c>
      <c r="R962" t="str">
        <f t="shared" si="14"/>
        <v>Normal</v>
      </c>
    </row>
    <row r="963" spans="1:18" x14ac:dyDescent="0.3">
      <c r="A963" t="s">
        <v>975</v>
      </c>
      <c r="B963" s="3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4303</v>
      </c>
      <c r="M963" t="s">
        <v>4281</v>
      </c>
      <c r="N963">
        <v>601.36</v>
      </c>
      <c r="P963">
        <f>Table1_2[[#This Row],[Quantity]]*Table1_2[[#This Row],[UnitPrice]]</f>
        <v>601.36</v>
      </c>
      <c r="Q963" t="s">
        <v>2175</v>
      </c>
      <c r="R963" t="str">
        <f t="shared" ref="R963:R1026" si="15">IF(OR(N963&lt;$S$2-1.5*($T$2-$S$2),N963&gt;$S$2+1.5*($T$2-$S$2)), "Outlier", "Normal")</f>
        <v>Normal</v>
      </c>
    </row>
    <row r="964" spans="1:18" x14ac:dyDescent="0.3">
      <c r="A964" t="s">
        <v>976</v>
      </c>
      <c r="B964" s="3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  <c r="P964">
        <f>Table1_2[[#This Row],[Quantity]]*Table1_2[[#This Row],[UnitPrice]]</f>
        <v>284.16000000000003</v>
      </c>
      <c r="Q964" t="s">
        <v>2176</v>
      </c>
      <c r="R964" t="str">
        <f t="shared" si="15"/>
        <v>Normal</v>
      </c>
    </row>
    <row r="965" spans="1:18" x14ac:dyDescent="0.3">
      <c r="A965" t="s">
        <v>977</v>
      </c>
      <c r="B965" s="3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  <c r="P965">
        <f>Table1_2[[#This Row],[Quantity]]*Table1_2[[#This Row],[UnitPrice]]</f>
        <v>2651.7000000000003</v>
      </c>
      <c r="Q965" t="s">
        <v>2177</v>
      </c>
      <c r="R965" t="str">
        <f t="shared" si="15"/>
        <v>Outlier</v>
      </c>
    </row>
    <row r="966" spans="1:18" x14ac:dyDescent="0.3">
      <c r="A966" t="s">
        <v>978</v>
      </c>
      <c r="B966" s="3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  <c r="P966">
        <f>Table1_2[[#This Row],[Quantity]]*Table1_2[[#This Row],[UnitPrice]]</f>
        <v>1822.1000000000001</v>
      </c>
      <c r="Q966" t="s">
        <v>2178</v>
      </c>
      <c r="R966" t="str">
        <f t="shared" si="15"/>
        <v>Normal</v>
      </c>
    </row>
    <row r="967" spans="1:18" x14ac:dyDescent="0.3">
      <c r="A967" t="s">
        <v>979</v>
      </c>
      <c r="B967" s="3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  <c r="P967">
        <f>Table1_2[[#This Row],[Quantity]]*Table1_2[[#This Row],[UnitPrice]]</f>
        <v>2313.12</v>
      </c>
      <c r="Q967" t="s">
        <v>2179</v>
      </c>
      <c r="R967" t="str">
        <f t="shared" si="15"/>
        <v>Outlier</v>
      </c>
    </row>
    <row r="968" spans="1:18" x14ac:dyDescent="0.3">
      <c r="A968" t="s">
        <v>980</v>
      </c>
      <c r="B968" s="3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  <c r="P968">
        <f>Table1_2[[#This Row],[Quantity]]*Table1_2[[#This Row],[UnitPrice]]</f>
        <v>1402.6</v>
      </c>
      <c r="Q968" t="s">
        <v>2180</v>
      </c>
      <c r="R968" t="str">
        <f t="shared" si="15"/>
        <v>Normal</v>
      </c>
    </row>
    <row r="969" spans="1:18" x14ac:dyDescent="0.3">
      <c r="A969" t="s">
        <v>981</v>
      </c>
      <c r="B969" s="3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  <c r="P969">
        <f>Table1_2[[#This Row],[Quantity]]*Table1_2[[#This Row],[UnitPrice]]</f>
        <v>3194.6</v>
      </c>
      <c r="Q969" t="s">
        <v>2181</v>
      </c>
      <c r="R969" t="str">
        <f t="shared" si="15"/>
        <v>Outlier</v>
      </c>
    </row>
    <row r="970" spans="1:18" x14ac:dyDescent="0.3">
      <c r="A970" t="s">
        <v>982</v>
      </c>
      <c r="B970" s="3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  <c r="P970">
        <f>Table1_2[[#This Row],[Quantity]]*Table1_2[[#This Row],[UnitPrice]]</f>
        <v>1648.8</v>
      </c>
      <c r="Q970" t="s">
        <v>2182</v>
      </c>
      <c r="R970" t="str">
        <f t="shared" si="15"/>
        <v>Normal</v>
      </c>
    </row>
    <row r="971" spans="1:18" x14ac:dyDescent="0.3">
      <c r="A971" t="s">
        <v>983</v>
      </c>
      <c r="B971" s="3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  <c r="P971">
        <f>Table1_2[[#This Row],[Quantity]]*Table1_2[[#This Row],[UnitPrice]]</f>
        <v>440.34</v>
      </c>
      <c r="Q971" t="s">
        <v>2183</v>
      </c>
      <c r="R971" t="str">
        <f t="shared" si="15"/>
        <v>Normal</v>
      </c>
    </row>
    <row r="972" spans="1:18" x14ac:dyDescent="0.3">
      <c r="A972" t="s">
        <v>984</v>
      </c>
      <c r="B972" s="3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  <c r="P972">
        <f>Table1_2[[#This Row],[Quantity]]*Table1_2[[#This Row],[UnitPrice]]</f>
        <v>627.15</v>
      </c>
      <c r="Q972" t="s">
        <v>2184</v>
      </c>
      <c r="R972" t="str">
        <f t="shared" si="15"/>
        <v>Normal</v>
      </c>
    </row>
    <row r="973" spans="1:18" x14ac:dyDescent="0.3">
      <c r="A973" t="s">
        <v>985</v>
      </c>
      <c r="B973" s="3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  <c r="P973">
        <f>Table1_2[[#This Row],[Quantity]]*Table1_2[[#This Row],[UnitPrice]]</f>
        <v>1210.52</v>
      </c>
      <c r="Q973" t="s">
        <v>2185</v>
      </c>
      <c r="R973" t="str">
        <f t="shared" si="15"/>
        <v>Normal</v>
      </c>
    </row>
    <row r="974" spans="1:18" x14ac:dyDescent="0.3">
      <c r="A974" t="s">
        <v>986</v>
      </c>
      <c r="B974" s="3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  <c r="P974">
        <f>Table1_2[[#This Row],[Quantity]]*Table1_2[[#This Row],[UnitPrice]]</f>
        <v>90.27</v>
      </c>
      <c r="Q974" t="s">
        <v>2186</v>
      </c>
      <c r="R974" t="str">
        <f t="shared" si="15"/>
        <v>Normal</v>
      </c>
    </row>
    <row r="975" spans="1:18" x14ac:dyDescent="0.3">
      <c r="A975" t="s">
        <v>987</v>
      </c>
      <c r="B975" s="3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  <c r="P975">
        <f>Table1_2[[#This Row],[Quantity]]*Table1_2[[#This Row],[UnitPrice]]</f>
        <v>1153.8500000000001</v>
      </c>
      <c r="Q975" t="s">
        <v>2187</v>
      </c>
      <c r="R975" t="str">
        <f t="shared" si="15"/>
        <v>Normal</v>
      </c>
    </row>
    <row r="976" spans="1:18" x14ac:dyDescent="0.3">
      <c r="A976" t="s">
        <v>988</v>
      </c>
      <c r="B976" s="3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4303</v>
      </c>
      <c r="M976" t="s">
        <v>4280</v>
      </c>
      <c r="N976">
        <v>1333.9</v>
      </c>
      <c r="P976">
        <f>Table1_2[[#This Row],[Quantity]]*Table1_2[[#This Row],[UnitPrice]]</f>
        <v>1333.8999999999999</v>
      </c>
      <c r="Q976" t="s">
        <v>2188</v>
      </c>
      <c r="R976" t="str">
        <f t="shared" si="15"/>
        <v>Normal</v>
      </c>
    </row>
    <row r="977" spans="1:18" x14ac:dyDescent="0.3">
      <c r="A977" t="s">
        <v>989</v>
      </c>
      <c r="B977" s="3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  <c r="P977">
        <f>Table1_2[[#This Row],[Quantity]]*Table1_2[[#This Row],[UnitPrice]]</f>
        <v>105.92</v>
      </c>
      <c r="Q977" t="s">
        <v>2189</v>
      </c>
      <c r="R977" t="str">
        <f t="shared" si="15"/>
        <v>Normal</v>
      </c>
    </row>
    <row r="978" spans="1:18" x14ac:dyDescent="0.3">
      <c r="A978" t="s">
        <v>990</v>
      </c>
      <c r="B978" s="3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  <c r="P978">
        <f>Table1_2[[#This Row],[Quantity]]*Table1_2[[#This Row],[UnitPrice]]</f>
        <v>1767.8999999999999</v>
      </c>
      <c r="Q978" t="s">
        <v>2190</v>
      </c>
      <c r="R978" t="str">
        <f t="shared" si="15"/>
        <v>Normal</v>
      </c>
    </row>
    <row r="979" spans="1:18" x14ac:dyDescent="0.3">
      <c r="A979" t="s">
        <v>991</v>
      </c>
      <c r="B979" s="3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  <c r="P979">
        <f>Table1_2[[#This Row],[Quantity]]*Table1_2[[#This Row],[UnitPrice]]</f>
        <v>2597.88</v>
      </c>
      <c r="Q979" t="s">
        <v>2191</v>
      </c>
      <c r="R979" t="str">
        <f t="shared" si="15"/>
        <v>Outlier</v>
      </c>
    </row>
    <row r="980" spans="1:18" x14ac:dyDescent="0.3">
      <c r="A980" t="s">
        <v>992</v>
      </c>
      <c r="B980" s="3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4303</v>
      </c>
      <c r="M980" t="s">
        <v>4282</v>
      </c>
      <c r="N980">
        <v>429.96</v>
      </c>
      <c r="P980">
        <f>Table1_2[[#This Row],[Quantity]]*Table1_2[[#This Row],[UnitPrice]]</f>
        <v>429.96</v>
      </c>
      <c r="Q980" t="s">
        <v>2192</v>
      </c>
      <c r="R980" t="str">
        <f t="shared" si="15"/>
        <v>Normal</v>
      </c>
    </row>
    <row r="981" spans="1:18" x14ac:dyDescent="0.3">
      <c r="A981" t="s">
        <v>993</v>
      </c>
      <c r="B981" s="3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  <c r="P981">
        <f>Table1_2[[#This Row],[Quantity]]*Table1_2[[#This Row],[UnitPrice]]</f>
        <v>2007.1799999999998</v>
      </c>
      <c r="Q981" t="s">
        <v>2193</v>
      </c>
      <c r="R981" t="str">
        <f t="shared" si="15"/>
        <v>Normal</v>
      </c>
    </row>
    <row r="982" spans="1:18" x14ac:dyDescent="0.3">
      <c r="A982" t="s">
        <v>994</v>
      </c>
      <c r="B982" s="3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  <c r="P982">
        <f>Table1_2[[#This Row],[Quantity]]*Table1_2[[#This Row],[UnitPrice]]</f>
        <v>208.95000000000002</v>
      </c>
      <c r="Q982" t="s">
        <v>2194</v>
      </c>
      <c r="R982" t="str">
        <f t="shared" si="15"/>
        <v>Normal</v>
      </c>
    </row>
    <row r="983" spans="1:18" x14ac:dyDescent="0.3">
      <c r="A983" t="s">
        <v>995</v>
      </c>
      <c r="B983" s="3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  <c r="P983">
        <f>Table1_2[[#This Row],[Quantity]]*Table1_2[[#This Row],[UnitPrice]]</f>
        <v>547.32000000000005</v>
      </c>
      <c r="Q983" t="s">
        <v>2195</v>
      </c>
      <c r="R983" t="str">
        <f t="shared" si="15"/>
        <v>Normal</v>
      </c>
    </row>
    <row r="984" spans="1:18" x14ac:dyDescent="0.3">
      <c r="A984" t="s">
        <v>996</v>
      </c>
      <c r="B984" s="3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  <c r="P984">
        <f>Table1_2[[#This Row],[Quantity]]*Table1_2[[#This Row],[UnitPrice]]</f>
        <v>304.11</v>
      </c>
      <c r="Q984" t="s">
        <v>2196</v>
      </c>
      <c r="R984" t="str">
        <f t="shared" si="15"/>
        <v>Normal</v>
      </c>
    </row>
    <row r="985" spans="1:18" x14ac:dyDescent="0.3">
      <c r="A985" t="s">
        <v>997</v>
      </c>
      <c r="B985" s="3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  <c r="P985">
        <f>Table1_2[[#This Row],[Quantity]]*Table1_2[[#This Row],[UnitPrice]]</f>
        <v>1185.1199999999999</v>
      </c>
      <c r="Q985" t="s">
        <v>2197</v>
      </c>
      <c r="R985" t="str">
        <f t="shared" si="15"/>
        <v>Normal</v>
      </c>
    </row>
    <row r="986" spans="1:18" x14ac:dyDescent="0.3">
      <c r="A986" t="s">
        <v>998</v>
      </c>
      <c r="B986" s="3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  <c r="P986">
        <f>Table1_2[[#This Row],[Quantity]]*Table1_2[[#This Row],[UnitPrice]]</f>
        <v>77.64</v>
      </c>
      <c r="Q986" t="s">
        <v>2198</v>
      </c>
      <c r="R986" t="str">
        <f t="shared" si="15"/>
        <v>Normal</v>
      </c>
    </row>
    <row r="987" spans="1:18" x14ac:dyDescent="0.3">
      <c r="A987" t="s">
        <v>999</v>
      </c>
      <c r="B987" s="3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  <c r="P987">
        <f>Table1_2[[#This Row],[Quantity]]*Table1_2[[#This Row],[UnitPrice]]</f>
        <v>243.71</v>
      </c>
      <c r="Q987" t="s">
        <v>2199</v>
      </c>
      <c r="R987" t="str">
        <f t="shared" si="15"/>
        <v>Normal</v>
      </c>
    </row>
    <row r="988" spans="1:18" x14ac:dyDescent="0.3">
      <c r="A988" t="s">
        <v>1000</v>
      </c>
      <c r="B988" s="3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  <c r="P988">
        <f>Table1_2[[#This Row],[Quantity]]*Table1_2[[#This Row],[UnitPrice]]</f>
        <v>2579.84</v>
      </c>
      <c r="Q988" t="s">
        <v>2200</v>
      </c>
      <c r="R988" t="str">
        <f t="shared" si="15"/>
        <v>Outlier</v>
      </c>
    </row>
    <row r="989" spans="1:18" x14ac:dyDescent="0.3">
      <c r="A989" t="s">
        <v>1001</v>
      </c>
      <c r="B989" s="3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  <c r="P989">
        <f>Table1_2[[#This Row],[Quantity]]*Table1_2[[#This Row],[UnitPrice]]</f>
        <v>1418.65</v>
      </c>
      <c r="Q989" t="s">
        <v>2201</v>
      </c>
      <c r="R989" t="str">
        <f t="shared" si="15"/>
        <v>Normal</v>
      </c>
    </row>
    <row r="990" spans="1:18" x14ac:dyDescent="0.3">
      <c r="A990" t="s">
        <v>1002</v>
      </c>
      <c r="B990" s="3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  <c r="P990">
        <f>Table1_2[[#This Row],[Quantity]]*Table1_2[[#This Row],[UnitPrice]]</f>
        <v>1259.1199999999999</v>
      </c>
      <c r="Q990" t="s">
        <v>2202</v>
      </c>
      <c r="R990" t="str">
        <f t="shared" si="15"/>
        <v>Normal</v>
      </c>
    </row>
    <row r="991" spans="1:18" x14ac:dyDescent="0.3">
      <c r="A991" t="s">
        <v>1003</v>
      </c>
      <c r="B991" s="3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  <c r="P991">
        <f>Table1_2[[#This Row],[Quantity]]*Table1_2[[#This Row],[UnitPrice]]</f>
        <v>984.44</v>
      </c>
      <c r="Q991" t="s">
        <v>2203</v>
      </c>
      <c r="R991" t="str">
        <f t="shared" si="15"/>
        <v>Normal</v>
      </c>
    </row>
    <row r="992" spans="1:18" x14ac:dyDescent="0.3">
      <c r="A992" t="s">
        <v>1004</v>
      </c>
      <c r="B992" s="3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  <c r="P992">
        <f>Table1_2[[#This Row],[Quantity]]*Table1_2[[#This Row],[UnitPrice]]</f>
        <v>836.52</v>
      </c>
      <c r="Q992" t="s">
        <v>2204</v>
      </c>
      <c r="R992" t="str">
        <f t="shared" si="15"/>
        <v>Normal</v>
      </c>
    </row>
    <row r="993" spans="1:18" x14ac:dyDescent="0.3">
      <c r="A993" t="s">
        <v>1005</v>
      </c>
      <c r="B993" s="3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  <c r="P993">
        <f>Table1_2[[#This Row],[Quantity]]*Table1_2[[#This Row],[UnitPrice]]</f>
        <v>635.90000000000009</v>
      </c>
      <c r="Q993" t="s">
        <v>2205</v>
      </c>
      <c r="R993" t="str">
        <f t="shared" si="15"/>
        <v>Normal</v>
      </c>
    </row>
    <row r="994" spans="1:18" x14ac:dyDescent="0.3">
      <c r="A994" t="s">
        <v>1006</v>
      </c>
      <c r="B994" s="3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  <c r="P994">
        <f>Table1_2[[#This Row],[Quantity]]*Table1_2[[#This Row],[UnitPrice]]</f>
        <v>1758.63</v>
      </c>
      <c r="Q994" t="s">
        <v>2206</v>
      </c>
      <c r="R994" t="str">
        <f t="shared" si="15"/>
        <v>Normal</v>
      </c>
    </row>
    <row r="995" spans="1:18" x14ac:dyDescent="0.3">
      <c r="A995" t="s">
        <v>1007</v>
      </c>
      <c r="B995" s="3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  <c r="P995">
        <f>Table1_2[[#This Row],[Quantity]]*Table1_2[[#This Row],[UnitPrice]]</f>
        <v>802.34999999999991</v>
      </c>
      <c r="Q995" t="s">
        <v>2207</v>
      </c>
      <c r="R995" t="str">
        <f t="shared" si="15"/>
        <v>Normal</v>
      </c>
    </row>
    <row r="996" spans="1:18" x14ac:dyDescent="0.3">
      <c r="A996" t="s">
        <v>1008</v>
      </c>
      <c r="B996" s="3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  <c r="P996">
        <f>Table1_2[[#This Row],[Quantity]]*Table1_2[[#This Row],[UnitPrice]]</f>
        <v>2462.6</v>
      </c>
      <c r="Q996" t="s">
        <v>2208</v>
      </c>
      <c r="R996" t="str">
        <f t="shared" si="15"/>
        <v>Outlier</v>
      </c>
    </row>
    <row r="997" spans="1:18" x14ac:dyDescent="0.3">
      <c r="A997" t="s">
        <v>1009</v>
      </c>
      <c r="B997" s="3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  <c r="P997">
        <f>Table1_2[[#This Row],[Quantity]]*Table1_2[[#This Row],[UnitPrice]]</f>
        <v>226.58</v>
      </c>
      <c r="Q997" t="s">
        <v>2209</v>
      </c>
      <c r="R997" t="str">
        <f t="shared" si="15"/>
        <v>Normal</v>
      </c>
    </row>
    <row r="998" spans="1:18" x14ac:dyDescent="0.3">
      <c r="A998" t="s">
        <v>1010</v>
      </c>
      <c r="B998" s="3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  <c r="P998">
        <f>Table1_2[[#This Row],[Quantity]]*Table1_2[[#This Row],[UnitPrice]]</f>
        <v>1895.44</v>
      </c>
      <c r="Q998" t="s">
        <v>2210</v>
      </c>
      <c r="R998" t="str">
        <f t="shared" si="15"/>
        <v>Normal</v>
      </c>
    </row>
    <row r="999" spans="1:18" x14ac:dyDescent="0.3">
      <c r="A999" t="s">
        <v>1011</v>
      </c>
      <c r="B999" s="3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  <c r="P999">
        <f>Table1_2[[#This Row],[Quantity]]*Table1_2[[#This Row],[UnitPrice]]</f>
        <v>1334.25</v>
      </c>
      <c r="Q999" t="s">
        <v>2211</v>
      </c>
      <c r="R999" t="str">
        <f t="shared" si="15"/>
        <v>Normal</v>
      </c>
    </row>
    <row r="1000" spans="1:18" x14ac:dyDescent="0.3">
      <c r="A1000" t="s">
        <v>1012</v>
      </c>
      <c r="B1000" s="3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  <c r="P1000">
        <f>Table1_2[[#This Row],[Quantity]]*Table1_2[[#This Row],[UnitPrice]]</f>
        <v>367.34</v>
      </c>
      <c r="Q1000" t="s">
        <v>2212</v>
      </c>
      <c r="R1000" t="str">
        <f t="shared" si="15"/>
        <v>Normal</v>
      </c>
    </row>
    <row r="1001" spans="1:18" x14ac:dyDescent="0.3">
      <c r="A1001" t="s">
        <v>1013</v>
      </c>
      <c r="B1001" s="3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  <c r="P1001">
        <f>Table1_2[[#This Row],[Quantity]]*Table1_2[[#This Row],[UnitPrice]]</f>
        <v>483.38</v>
      </c>
      <c r="Q1001" t="s">
        <v>2213</v>
      </c>
      <c r="R1001" t="str">
        <f t="shared" si="15"/>
        <v>Normal</v>
      </c>
    </row>
    <row r="1002" spans="1:18" x14ac:dyDescent="0.3">
      <c r="A1002" t="s">
        <v>1014</v>
      </c>
      <c r="B1002" s="3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  <c r="P1002">
        <f>Table1_2[[#This Row],[Quantity]]*Table1_2[[#This Row],[UnitPrice]]</f>
        <v>1304.6500000000001</v>
      </c>
      <c r="Q1002" t="s">
        <v>2214</v>
      </c>
      <c r="R1002" t="str">
        <f t="shared" si="15"/>
        <v>Normal</v>
      </c>
    </row>
    <row r="1003" spans="1:18" x14ac:dyDescent="0.3">
      <c r="A1003" t="s">
        <v>1015</v>
      </c>
      <c r="B1003" s="3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4303</v>
      </c>
      <c r="M1003" t="s">
        <v>4279</v>
      </c>
      <c r="N1003">
        <v>507.36</v>
      </c>
      <c r="P1003">
        <f>Table1_2[[#This Row],[Quantity]]*Table1_2[[#This Row],[UnitPrice]]</f>
        <v>507.36</v>
      </c>
      <c r="Q1003" t="s">
        <v>2215</v>
      </c>
      <c r="R1003" t="str">
        <f t="shared" si="15"/>
        <v>Normal</v>
      </c>
    </row>
    <row r="1004" spans="1:18" x14ac:dyDescent="0.3">
      <c r="A1004" t="s">
        <v>1016</v>
      </c>
      <c r="B1004" s="3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  <c r="P1004">
        <f>Table1_2[[#This Row],[Quantity]]*Table1_2[[#This Row],[UnitPrice]]</f>
        <v>2799.52</v>
      </c>
      <c r="Q1004" t="s">
        <v>2216</v>
      </c>
      <c r="R1004" t="str">
        <f t="shared" si="15"/>
        <v>Outlier</v>
      </c>
    </row>
    <row r="1005" spans="1:18" x14ac:dyDescent="0.3">
      <c r="A1005" t="s">
        <v>1017</v>
      </c>
      <c r="B1005" s="3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  <c r="P1005">
        <f>Table1_2[[#This Row],[Quantity]]*Table1_2[[#This Row],[UnitPrice]]</f>
        <v>1599.8500000000001</v>
      </c>
      <c r="Q1005" t="s">
        <v>2217</v>
      </c>
      <c r="R1005" t="str">
        <f t="shared" si="15"/>
        <v>Normal</v>
      </c>
    </row>
    <row r="1006" spans="1:18" x14ac:dyDescent="0.3">
      <c r="A1006" t="s">
        <v>1018</v>
      </c>
      <c r="B1006" s="3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  <c r="P1006">
        <f>Table1_2[[#This Row],[Quantity]]*Table1_2[[#This Row],[UnitPrice]]</f>
        <v>987.64</v>
      </c>
      <c r="Q1006" t="s">
        <v>2218</v>
      </c>
      <c r="R1006" t="str">
        <f t="shared" si="15"/>
        <v>Normal</v>
      </c>
    </row>
    <row r="1007" spans="1:18" x14ac:dyDescent="0.3">
      <c r="A1007" t="s">
        <v>1019</v>
      </c>
      <c r="B1007" s="3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4303</v>
      </c>
      <c r="M1007" t="s">
        <v>4282</v>
      </c>
      <c r="N1007">
        <v>1178.55</v>
      </c>
      <c r="P1007">
        <f>Table1_2[[#This Row],[Quantity]]*Table1_2[[#This Row],[UnitPrice]]</f>
        <v>1178.5500000000002</v>
      </c>
      <c r="Q1007" t="s">
        <v>2219</v>
      </c>
      <c r="R1007" t="str">
        <f t="shared" si="15"/>
        <v>Normal</v>
      </c>
    </row>
    <row r="1008" spans="1:18" x14ac:dyDescent="0.3">
      <c r="A1008" t="s">
        <v>1020</v>
      </c>
      <c r="B1008" s="3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  <c r="P1008">
        <f>Table1_2[[#This Row],[Quantity]]*Table1_2[[#This Row],[UnitPrice]]</f>
        <v>2104.9</v>
      </c>
      <c r="Q1008" t="s">
        <v>2220</v>
      </c>
      <c r="R1008" t="str">
        <f t="shared" si="15"/>
        <v>Normal</v>
      </c>
    </row>
    <row r="1009" spans="1:18" x14ac:dyDescent="0.3">
      <c r="A1009" t="s">
        <v>1021</v>
      </c>
      <c r="B1009" s="3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  <c r="P1009">
        <f>Table1_2[[#This Row],[Quantity]]*Table1_2[[#This Row],[UnitPrice]]</f>
        <v>146.52000000000001</v>
      </c>
      <c r="Q1009" t="s">
        <v>2221</v>
      </c>
      <c r="R1009" t="str">
        <f t="shared" si="15"/>
        <v>Normal</v>
      </c>
    </row>
    <row r="1010" spans="1:18" x14ac:dyDescent="0.3">
      <c r="A1010" t="s">
        <v>1022</v>
      </c>
      <c r="B1010" s="3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  <c r="P1010">
        <f>Table1_2[[#This Row],[Quantity]]*Table1_2[[#This Row],[UnitPrice]]</f>
        <v>1232.6399999999999</v>
      </c>
      <c r="Q1010" t="s">
        <v>2222</v>
      </c>
      <c r="R1010" t="str">
        <f t="shared" si="15"/>
        <v>Normal</v>
      </c>
    </row>
    <row r="1011" spans="1:18" x14ac:dyDescent="0.3">
      <c r="A1011" t="s">
        <v>1023</v>
      </c>
      <c r="B1011" s="3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  <c r="P1011">
        <f>Table1_2[[#This Row],[Quantity]]*Table1_2[[#This Row],[UnitPrice]]</f>
        <v>352.92</v>
      </c>
      <c r="Q1011" t="s">
        <v>2223</v>
      </c>
      <c r="R1011" t="str">
        <f t="shared" si="15"/>
        <v>Normal</v>
      </c>
    </row>
    <row r="1012" spans="1:18" x14ac:dyDescent="0.3">
      <c r="A1012" t="s">
        <v>1024</v>
      </c>
      <c r="B1012" s="3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  <c r="P1012">
        <f>Table1_2[[#This Row],[Quantity]]*Table1_2[[#This Row],[UnitPrice]]</f>
        <v>1978.71</v>
      </c>
      <c r="Q1012" t="s">
        <v>2224</v>
      </c>
      <c r="R1012" t="str">
        <f t="shared" si="15"/>
        <v>Normal</v>
      </c>
    </row>
    <row r="1013" spans="1:18" x14ac:dyDescent="0.3">
      <c r="A1013" t="s">
        <v>1025</v>
      </c>
      <c r="B1013" s="3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4303</v>
      </c>
      <c r="M1013" t="s">
        <v>4282</v>
      </c>
      <c r="N1013">
        <v>956.72</v>
      </c>
      <c r="P1013">
        <f>Table1_2[[#This Row],[Quantity]]*Table1_2[[#This Row],[UnitPrice]]</f>
        <v>956.72</v>
      </c>
      <c r="Q1013" t="s">
        <v>2225</v>
      </c>
      <c r="R1013" t="str">
        <f t="shared" si="15"/>
        <v>Normal</v>
      </c>
    </row>
    <row r="1014" spans="1:18" x14ac:dyDescent="0.3">
      <c r="A1014" t="s">
        <v>1026</v>
      </c>
      <c r="B1014" s="3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4303</v>
      </c>
      <c r="M1014" t="s">
        <v>4281</v>
      </c>
      <c r="N1014">
        <v>120.2</v>
      </c>
      <c r="P1014">
        <f>Table1_2[[#This Row],[Quantity]]*Table1_2[[#This Row],[UnitPrice]]</f>
        <v>120.2</v>
      </c>
      <c r="Q1014" t="s">
        <v>2226</v>
      </c>
      <c r="R1014" t="str">
        <f t="shared" si="15"/>
        <v>Normal</v>
      </c>
    </row>
    <row r="1015" spans="1:18" x14ac:dyDescent="0.3">
      <c r="A1015" t="s">
        <v>1027</v>
      </c>
      <c r="B1015" s="3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  <c r="P1015">
        <f>Table1_2[[#This Row],[Quantity]]*Table1_2[[#This Row],[UnitPrice]]</f>
        <v>1202.24</v>
      </c>
      <c r="Q1015" t="s">
        <v>2227</v>
      </c>
      <c r="R1015" t="str">
        <f t="shared" si="15"/>
        <v>Normal</v>
      </c>
    </row>
    <row r="1016" spans="1:18" x14ac:dyDescent="0.3">
      <c r="A1016" t="s">
        <v>1028</v>
      </c>
      <c r="B1016" s="3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  <c r="P1016">
        <f>Table1_2[[#This Row],[Quantity]]*Table1_2[[#This Row],[UnitPrice]]</f>
        <v>1132.25</v>
      </c>
      <c r="Q1016" t="s">
        <v>2228</v>
      </c>
      <c r="R1016" t="str">
        <f t="shared" si="15"/>
        <v>Normal</v>
      </c>
    </row>
    <row r="1017" spans="1:18" x14ac:dyDescent="0.3">
      <c r="A1017" t="s">
        <v>1029</v>
      </c>
      <c r="B1017" s="3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  <c r="P1017">
        <f>Table1_2[[#This Row],[Quantity]]*Table1_2[[#This Row],[UnitPrice]]</f>
        <v>698.8</v>
      </c>
      <c r="Q1017" t="s">
        <v>2229</v>
      </c>
      <c r="R1017" t="str">
        <f t="shared" si="15"/>
        <v>Normal</v>
      </c>
    </row>
    <row r="1018" spans="1:18" x14ac:dyDescent="0.3">
      <c r="A1018" t="s">
        <v>1030</v>
      </c>
      <c r="B1018" s="3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  <c r="P1018">
        <f>Table1_2[[#This Row],[Quantity]]*Table1_2[[#This Row],[UnitPrice]]</f>
        <v>1343.8999999999999</v>
      </c>
      <c r="Q1018" t="s">
        <v>2230</v>
      </c>
      <c r="R1018" t="str">
        <f t="shared" si="15"/>
        <v>Normal</v>
      </c>
    </row>
    <row r="1019" spans="1:18" x14ac:dyDescent="0.3">
      <c r="A1019" t="s">
        <v>1031</v>
      </c>
      <c r="B1019" s="3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  <c r="P1019">
        <f>Table1_2[[#This Row],[Quantity]]*Table1_2[[#This Row],[UnitPrice]]</f>
        <v>1361.7</v>
      </c>
      <c r="Q1019" t="s">
        <v>2231</v>
      </c>
      <c r="R1019" t="str">
        <f t="shared" si="15"/>
        <v>Normal</v>
      </c>
    </row>
    <row r="1020" spans="1:18" x14ac:dyDescent="0.3">
      <c r="A1020" t="s">
        <v>1032</v>
      </c>
      <c r="B1020" s="3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4303</v>
      </c>
      <c r="M1020" t="s">
        <v>4278</v>
      </c>
      <c r="N1020">
        <v>547.43999999999994</v>
      </c>
      <c r="P1020">
        <f>Table1_2[[#This Row],[Quantity]]*Table1_2[[#This Row],[UnitPrice]]</f>
        <v>547.43999999999994</v>
      </c>
      <c r="Q1020" t="s">
        <v>2232</v>
      </c>
      <c r="R1020" t="str">
        <f t="shared" si="15"/>
        <v>Normal</v>
      </c>
    </row>
    <row r="1021" spans="1:18" x14ac:dyDescent="0.3">
      <c r="A1021" t="s">
        <v>1033</v>
      </c>
      <c r="B1021" s="3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  <c r="P1021">
        <f>Table1_2[[#This Row],[Quantity]]*Table1_2[[#This Row],[UnitPrice]]</f>
        <v>277.08999999999997</v>
      </c>
      <c r="Q1021" t="s">
        <v>2233</v>
      </c>
      <c r="R1021" t="str">
        <f t="shared" si="15"/>
        <v>Normal</v>
      </c>
    </row>
    <row r="1022" spans="1:18" x14ac:dyDescent="0.3">
      <c r="A1022" t="s">
        <v>1034</v>
      </c>
      <c r="B1022" s="3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  <c r="P1022">
        <f>Table1_2[[#This Row],[Quantity]]*Table1_2[[#This Row],[UnitPrice]]</f>
        <v>53</v>
      </c>
      <c r="Q1022" t="s">
        <v>2234</v>
      </c>
      <c r="R1022" t="str">
        <f t="shared" si="15"/>
        <v>Normal</v>
      </c>
    </row>
    <row r="1023" spans="1:18" x14ac:dyDescent="0.3">
      <c r="A1023" t="s">
        <v>1035</v>
      </c>
      <c r="B1023" s="3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  <c r="P1023">
        <f>Table1_2[[#This Row],[Quantity]]*Table1_2[[#This Row],[UnitPrice]]</f>
        <v>945.81</v>
      </c>
      <c r="Q1023" t="s">
        <v>2235</v>
      </c>
      <c r="R1023" t="str">
        <f t="shared" si="15"/>
        <v>Normal</v>
      </c>
    </row>
    <row r="1024" spans="1:18" x14ac:dyDescent="0.3">
      <c r="A1024" t="s">
        <v>1036</v>
      </c>
      <c r="B1024" s="3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  <c r="P1024">
        <f>Table1_2[[#This Row],[Quantity]]*Table1_2[[#This Row],[UnitPrice]]</f>
        <v>1352.94</v>
      </c>
      <c r="Q1024" t="s">
        <v>2236</v>
      </c>
      <c r="R1024" t="str">
        <f t="shared" si="15"/>
        <v>Normal</v>
      </c>
    </row>
    <row r="1025" spans="1:18" x14ac:dyDescent="0.3">
      <c r="A1025" t="s">
        <v>1037</v>
      </c>
      <c r="B1025" s="3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4303</v>
      </c>
      <c r="M1025" t="s">
        <v>4279</v>
      </c>
      <c r="N1025">
        <v>1168.3499999999999</v>
      </c>
      <c r="P1025">
        <f>Table1_2[[#This Row],[Quantity]]*Table1_2[[#This Row],[UnitPrice]]</f>
        <v>1168.3499999999999</v>
      </c>
      <c r="Q1025" t="s">
        <v>2237</v>
      </c>
      <c r="R1025" t="str">
        <f t="shared" si="15"/>
        <v>Normal</v>
      </c>
    </row>
    <row r="1026" spans="1:18" x14ac:dyDescent="0.3">
      <c r="A1026" t="s">
        <v>1038</v>
      </c>
      <c r="B1026" s="3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  <c r="P1026">
        <f>Table1_2[[#This Row],[Quantity]]*Table1_2[[#This Row],[UnitPrice]]</f>
        <v>1103.25</v>
      </c>
      <c r="Q1026" t="s">
        <v>2238</v>
      </c>
      <c r="R1026" t="str">
        <f t="shared" si="15"/>
        <v>Normal</v>
      </c>
    </row>
    <row r="1027" spans="1:18" x14ac:dyDescent="0.3">
      <c r="A1027" t="s">
        <v>1039</v>
      </c>
      <c r="B1027" s="3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  <c r="P1027">
        <f>Table1_2[[#This Row],[Quantity]]*Table1_2[[#This Row],[UnitPrice]]</f>
        <v>23.53</v>
      </c>
      <c r="Q1027" t="s">
        <v>2239</v>
      </c>
      <c r="R1027" t="str">
        <f t="shared" ref="R1027:R1090" si="16">IF(OR(N1027&lt;$S$2-1.5*($T$2-$S$2),N1027&gt;$S$2+1.5*($T$2-$S$2)), "Outlier", "Normal")</f>
        <v>Normal</v>
      </c>
    </row>
    <row r="1028" spans="1:18" x14ac:dyDescent="0.3">
      <c r="A1028" t="s">
        <v>1040</v>
      </c>
      <c r="B1028" s="3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  <c r="P1028">
        <f>Table1_2[[#This Row],[Quantity]]*Table1_2[[#This Row],[UnitPrice]]</f>
        <v>677.48</v>
      </c>
      <c r="Q1028" t="s">
        <v>2240</v>
      </c>
      <c r="R1028" t="str">
        <f t="shared" si="16"/>
        <v>Normal</v>
      </c>
    </row>
    <row r="1029" spans="1:18" x14ac:dyDescent="0.3">
      <c r="A1029" t="s">
        <v>1041</v>
      </c>
      <c r="B1029" s="3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4303</v>
      </c>
      <c r="M1029" t="s">
        <v>4282</v>
      </c>
      <c r="N1029">
        <v>2219.3200000000002</v>
      </c>
      <c r="P1029">
        <f>Table1_2[[#This Row],[Quantity]]*Table1_2[[#This Row],[UnitPrice]]</f>
        <v>2219.3200000000002</v>
      </c>
      <c r="Q1029" t="s">
        <v>2241</v>
      </c>
      <c r="R1029" t="str">
        <f t="shared" si="16"/>
        <v>Outlier</v>
      </c>
    </row>
    <row r="1030" spans="1:18" x14ac:dyDescent="0.3">
      <c r="A1030" t="s">
        <v>1042</v>
      </c>
      <c r="B1030" s="3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4303</v>
      </c>
      <c r="M1030" t="s">
        <v>4278</v>
      </c>
      <c r="N1030">
        <v>1761.24</v>
      </c>
      <c r="P1030">
        <f>Table1_2[[#This Row],[Quantity]]*Table1_2[[#This Row],[UnitPrice]]</f>
        <v>1761.24</v>
      </c>
      <c r="Q1030" t="s">
        <v>2242</v>
      </c>
      <c r="R1030" t="str">
        <f t="shared" si="16"/>
        <v>Normal</v>
      </c>
    </row>
    <row r="1031" spans="1:18" x14ac:dyDescent="0.3">
      <c r="A1031" t="s">
        <v>1043</v>
      </c>
      <c r="B1031" s="3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  <c r="P1031">
        <f>Table1_2[[#This Row],[Quantity]]*Table1_2[[#This Row],[UnitPrice]]</f>
        <v>87.06</v>
      </c>
      <c r="Q1031" t="s">
        <v>2243</v>
      </c>
      <c r="R1031" t="str">
        <f t="shared" si="16"/>
        <v>Normal</v>
      </c>
    </row>
    <row r="1032" spans="1:18" x14ac:dyDescent="0.3">
      <c r="A1032" t="s">
        <v>1044</v>
      </c>
      <c r="B1032" s="3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  <c r="P1032">
        <f>Table1_2[[#This Row],[Quantity]]*Table1_2[[#This Row],[UnitPrice]]</f>
        <v>981.12</v>
      </c>
      <c r="Q1032" t="s">
        <v>2244</v>
      </c>
      <c r="R1032" t="str">
        <f t="shared" si="16"/>
        <v>Normal</v>
      </c>
    </row>
    <row r="1033" spans="1:18" x14ac:dyDescent="0.3">
      <c r="A1033" t="s">
        <v>1045</v>
      </c>
      <c r="B1033" s="3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  <c r="P1033">
        <f>Table1_2[[#This Row],[Quantity]]*Table1_2[[#This Row],[UnitPrice]]</f>
        <v>3322.55</v>
      </c>
      <c r="Q1033" t="s">
        <v>2245</v>
      </c>
      <c r="R1033" t="str">
        <f t="shared" si="16"/>
        <v>Outlier</v>
      </c>
    </row>
    <row r="1034" spans="1:18" x14ac:dyDescent="0.3">
      <c r="A1034" t="s">
        <v>1046</v>
      </c>
      <c r="B1034" s="3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  <c r="P1034">
        <f>Table1_2[[#This Row],[Quantity]]*Table1_2[[#This Row],[UnitPrice]]</f>
        <v>618.67999999999995</v>
      </c>
      <c r="Q1034" t="s">
        <v>2246</v>
      </c>
      <c r="R1034" t="str">
        <f t="shared" si="16"/>
        <v>Normal</v>
      </c>
    </row>
    <row r="1035" spans="1:18" x14ac:dyDescent="0.3">
      <c r="A1035" t="s">
        <v>1047</v>
      </c>
      <c r="B1035" s="3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  <c r="P1035">
        <f>Table1_2[[#This Row],[Quantity]]*Table1_2[[#This Row],[UnitPrice]]</f>
        <v>370.85</v>
      </c>
      <c r="Q1035" t="s">
        <v>2247</v>
      </c>
      <c r="R1035" t="str">
        <f t="shared" si="16"/>
        <v>Normal</v>
      </c>
    </row>
    <row r="1036" spans="1:18" x14ac:dyDescent="0.3">
      <c r="A1036" t="s">
        <v>1048</v>
      </c>
      <c r="B1036" s="3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  <c r="P1036">
        <f>Table1_2[[#This Row],[Quantity]]*Table1_2[[#This Row],[UnitPrice]]</f>
        <v>2071.92</v>
      </c>
      <c r="Q1036" t="s">
        <v>2248</v>
      </c>
      <c r="R1036" t="str">
        <f t="shared" si="16"/>
        <v>Normal</v>
      </c>
    </row>
    <row r="1037" spans="1:18" x14ac:dyDescent="0.3">
      <c r="A1037" t="s">
        <v>1049</v>
      </c>
      <c r="B1037" s="3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4303</v>
      </c>
      <c r="M1037" t="s">
        <v>4279</v>
      </c>
      <c r="N1037">
        <v>2024.44</v>
      </c>
      <c r="P1037">
        <f>Table1_2[[#This Row],[Quantity]]*Table1_2[[#This Row],[UnitPrice]]</f>
        <v>2024.44</v>
      </c>
      <c r="Q1037" t="s">
        <v>2249</v>
      </c>
      <c r="R1037" t="str">
        <f t="shared" si="16"/>
        <v>Normal</v>
      </c>
    </row>
    <row r="1038" spans="1:18" x14ac:dyDescent="0.3">
      <c r="A1038" t="s">
        <v>1050</v>
      </c>
      <c r="B1038" s="3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  <c r="P1038">
        <f>Table1_2[[#This Row],[Quantity]]*Table1_2[[#This Row],[UnitPrice]]</f>
        <v>1241.49</v>
      </c>
      <c r="Q1038" t="s">
        <v>2250</v>
      </c>
      <c r="R1038" t="str">
        <f t="shared" si="16"/>
        <v>Normal</v>
      </c>
    </row>
    <row r="1039" spans="1:18" x14ac:dyDescent="0.3">
      <c r="A1039" t="s">
        <v>1051</v>
      </c>
      <c r="B1039" s="3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  <c r="P1039">
        <f>Table1_2[[#This Row],[Quantity]]*Table1_2[[#This Row],[UnitPrice]]</f>
        <v>249.81</v>
      </c>
      <c r="Q1039" t="s">
        <v>2251</v>
      </c>
      <c r="R1039" t="str">
        <f t="shared" si="16"/>
        <v>Normal</v>
      </c>
    </row>
    <row r="1040" spans="1:18" x14ac:dyDescent="0.3">
      <c r="A1040" t="s">
        <v>1052</v>
      </c>
      <c r="B1040" s="3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4303</v>
      </c>
      <c r="M1040" t="s">
        <v>4281</v>
      </c>
      <c r="N1040">
        <v>1087.5899999999999</v>
      </c>
      <c r="P1040">
        <f>Table1_2[[#This Row],[Quantity]]*Table1_2[[#This Row],[UnitPrice]]</f>
        <v>1087.5899999999999</v>
      </c>
      <c r="Q1040" t="s">
        <v>2252</v>
      </c>
      <c r="R1040" t="str">
        <f t="shared" si="16"/>
        <v>Normal</v>
      </c>
    </row>
    <row r="1041" spans="1:18" x14ac:dyDescent="0.3">
      <c r="A1041" t="s">
        <v>1053</v>
      </c>
      <c r="B1041" s="3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  <c r="P1041">
        <f>Table1_2[[#This Row],[Quantity]]*Table1_2[[#This Row],[UnitPrice]]</f>
        <v>598.46</v>
      </c>
      <c r="Q1041" t="s">
        <v>2253</v>
      </c>
      <c r="R1041" t="str">
        <f t="shared" si="16"/>
        <v>Normal</v>
      </c>
    </row>
    <row r="1042" spans="1:18" x14ac:dyDescent="0.3">
      <c r="A1042" t="s">
        <v>1054</v>
      </c>
      <c r="B1042" s="3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  <c r="P1042">
        <f>Table1_2[[#This Row],[Quantity]]*Table1_2[[#This Row],[UnitPrice]]</f>
        <v>536.07000000000005</v>
      </c>
      <c r="Q1042" t="s">
        <v>2254</v>
      </c>
      <c r="R1042" t="str">
        <f t="shared" si="16"/>
        <v>Normal</v>
      </c>
    </row>
    <row r="1043" spans="1:18" x14ac:dyDescent="0.3">
      <c r="A1043" t="s">
        <v>1055</v>
      </c>
      <c r="B1043" s="3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  <c r="P1043">
        <f>Table1_2[[#This Row],[Quantity]]*Table1_2[[#This Row],[UnitPrice]]</f>
        <v>2235.6</v>
      </c>
      <c r="Q1043" t="s">
        <v>2255</v>
      </c>
      <c r="R1043" t="str">
        <f t="shared" si="16"/>
        <v>Outlier</v>
      </c>
    </row>
    <row r="1044" spans="1:18" x14ac:dyDescent="0.3">
      <c r="A1044" t="s">
        <v>1056</v>
      </c>
      <c r="B1044" s="3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  <c r="P1044">
        <f>Table1_2[[#This Row],[Quantity]]*Table1_2[[#This Row],[UnitPrice]]</f>
        <v>819.5</v>
      </c>
      <c r="Q1044" t="s">
        <v>2256</v>
      </c>
      <c r="R1044" t="str">
        <f t="shared" si="16"/>
        <v>Normal</v>
      </c>
    </row>
    <row r="1045" spans="1:18" x14ac:dyDescent="0.3">
      <c r="A1045" t="s">
        <v>1057</v>
      </c>
      <c r="B1045" s="3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4303</v>
      </c>
      <c r="M1045" t="s">
        <v>4278</v>
      </c>
      <c r="N1045">
        <v>359.92</v>
      </c>
      <c r="P1045">
        <f>Table1_2[[#This Row],[Quantity]]*Table1_2[[#This Row],[UnitPrice]]</f>
        <v>359.92</v>
      </c>
      <c r="Q1045" t="s">
        <v>2257</v>
      </c>
      <c r="R1045" t="str">
        <f t="shared" si="16"/>
        <v>Normal</v>
      </c>
    </row>
    <row r="1046" spans="1:18" x14ac:dyDescent="0.3">
      <c r="A1046" t="s">
        <v>1058</v>
      </c>
      <c r="B1046" s="3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  <c r="P1046">
        <f>Table1_2[[#This Row],[Quantity]]*Table1_2[[#This Row],[UnitPrice]]</f>
        <v>38.49</v>
      </c>
      <c r="Q1046" t="s">
        <v>2258</v>
      </c>
      <c r="R1046" t="str">
        <f t="shared" si="16"/>
        <v>Normal</v>
      </c>
    </row>
    <row r="1047" spans="1:18" x14ac:dyDescent="0.3">
      <c r="A1047" t="s">
        <v>1059</v>
      </c>
      <c r="B1047" s="3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4303</v>
      </c>
      <c r="M1047" t="s">
        <v>4280</v>
      </c>
      <c r="N1047">
        <v>1582</v>
      </c>
      <c r="P1047">
        <f>Table1_2[[#This Row],[Quantity]]*Table1_2[[#This Row],[UnitPrice]]</f>
        <v>1582</v>
      </c>
      <c r="Q1047" t="s">
        <v>2259</v>
      </c>
      <c r="R1047" t="str">
        <f t="shared" si="16"/>
        <v>Normal</v>
      </c>
    </row>
    <row r="1048" spans="1:18" x14ac:dyDescent="0.3">
      <c r="A1048" t="s">
        <v>1060</v>
      </c>
      <c r="B1048" s="3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  <c r="P1048">
        <f>Table1_2[[#This Row],[Quantity]]*Table1_2[[#This Row],[UnitPrice]]</f>
        <v>1641.4499999999998</v>
      </c>
      <c r="Q1048" t="s">
        <v>2260</v>
      </c>
      <c r="R1048" t="str">
        <f t="shared" si="16"/>
        <v>Normal</v>
      </c>
    </row>
    <row r="1049" spans="1:18" x14ac:dyDescent="0.3">
      <c r="A1049" t="s">
        <v>1061</v>
      </c>
      <c r="B1049" s="3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  <c r="P1049">
        <f>Table1_2[[#This Row],[Quantity]]*Table1_2[[#This Row],[UnitPrice]]</f>
        <v>2161.36</v>
      </c>
      <c r="Q1049" t="s">
        <v>2261</v>
      </c>
      <c r="R1049" t="str">
        <f t="shared" si="16"/>
        <v>Normal</v>
      </c>
    </row>
    <row r="1050" spans="1:18" x14ac:dyDescent="0.3">
      <c r="A1050" t="s">
        <v>1062</v>
      </c>
      <c r="B1050" s="3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4303</v>
      </c>
      <c r="M1050" t="s">
        <v>4282</v>
      </c>
      <c r="N1050">
        <v>294.60000000000002</v>
      </c>
      <c r="P1050">
        <f>Table1_2[[#This Row],[Quantity]]*Table1_2[[#This Row],[UnitPrice]]</f>
        <v>294.60000000000002</v>
      </c>
      <c r="Q1050" t="s">
        <v>2262</v>
      </c>
      <c r="R1050" t="str">
        <f t="shared" si="16"/>
        <v>Normal</v>
      </c>
    </row>
    <row r="1051" spans="1:18" x14ac:dyDescent="0.3">
      <c r="A1051" t="s">
        <v>1063</v>
      </c>
      <c r="B1051" s="3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4303</v>
      </c>
      <c r="M1051" t="s">
        <v>4278</v>
      </c>
      <c r="N1051">
        <v>1959.3</v>
      </c>
      <c r="P1051">
        <f>Table1_2[[#This Row],[Quantity]]*Table1_2[[#This Row],[UnitPrice]]</f>
        <v>1959.3000000000002</v>
      </c>
      <c r="Q1051" t="s">
        <v>2263</v>
      </c>
      <c r="R1051" t="str">
        <f t="shared" si="16"/>
        <v>Normal</v>
      </c>
    </row>
    <row r="1052" spans="1:18" x14ac:dyDescent="0.3">
      <c r="A1052" t="s">
        <v>1064</v>
      </c>
      <c r="B1052" s="3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4303</v>
      </c>
      <c r="M1052" t="s">
        <v>4278</v>
      </c>
      <c r="N1052">
        <v>348.5</v>
      </c>
      <c r="P1052">
        <f>Table1_2[[#This Row],[Quantity]]*Table1_2[[#This Row],[UnitPrice]]</f>
        <v>348.5</v>
      </c>
      <c r="Q1052" t="s">
        <v>2264</v>
      </c>
      <c r="R1052" t="str">
        <f t="shared" si="16"/>
        <v>Normal</v>
      </c>
    </row>
    <row r="1053" spans="1:18" x14ac:dyDescent="0.3">
      <c r="A1053" t="s">
        <v>1065</v>
      </c>
      <c r="B1053" s="3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  <c r="P1053">
        <f>Table1_2[[#This Row],[Quantity]]*Table1_2[[#This Row],[UnitPrice]]</f>
        <v>132.15</v>
      </c>
      <c r="Q1053" t="s">
        <v>2265</v>
      </c>
      <c r="R1053" t="str">
        <f t="shared" si="16"/>
        <v>Normal</v>
      </c>
    </row>
    <row r="1054" spans="1:18" x14ac:dyDescent="0.3">
      <c r="A1054" t="s">
        <v>1066</v>
      </c>
      <c r="B1054" s="3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  <c r="P1054">
        <f>Table1_2[[#This Row],[Quantity]]*Table1_2[[#This Row],[UnitPrice]]</f>
        <v>531.74</v>
      </c>
      <c r="Q1054" t="s">
        <v>2266</v>
      </c>
      <c r="R1054" t="str">
        <f t="shared" si="16"/>
        <v>Normal</v>
      </c>
    </row>
    <row r="1055" spans="1:18" x14ac:dyDescent="0.3">
      <c r="A1055" t="s">
        <v>1067</v>
      </c>
      <c r="B1055" s="3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  <c r="P1055">
        <f>Table1_2[[#This Row],[Quantity]]*Table1_2[[#This Row],[UnitPrice]]</f>
        <v>993.24</v>
      </c>
      <c r="Q1055" t="s">
        <v>2267</v>
      </c>
      <c r="R1055" t="str">
        <f t="shared" si="16"/>
        <v>Normal</v>
      </c>
    </row>
    <row r="1056" spans="1:18" x14ac:dyDescent="0.3">
      <c r="A1056" t="s">
        <v>1068</v>
      </c>
      <c r="B1056" s="3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  <c r="P1056">
        <f>Table1_2[[#This Row],[Quantity]]*Table1_2[[#This Row],[UnitPrice]]</f>
        <v>660.66</v>
      </c>
      <c r="Q1056" t="s">
        <v>2268</v>
      </c>
      <c r="R1056" t="str">
        <f t="shared" si="16"/>
        <v>Normal</v>
      </c>
    </row>
    <row r="1057" spans="1:18" x14ac:dyDescent="0.3">
      <c r="A1057" t="s">
        <v>1069</v>
      </c>
      <c r="B1057" s="3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  <c r="P1057">
        <f>Table1_2[[#This Row],[Quantity]]*Table1_2[[#This Row],[UnitPrice]]</f>
        <v>1099.28</v>
      </c>
      <c r="Q1057" t="s">
        <v>2269</v>
      </c>
      <c r="R1057" t="str">
        <f t="shared" si="16"/>
        <v>Normal</v>
      </c>
    </row>
    <row r="1058" spans="1:18" x14ac:dyDescent="0.3">
      <c r="A1058" t="s">
        <v>1070</v>
      </c>
      <c r="B1058" s="3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  <c r="P1058">
        <f>Table1_2[[#This Row],[Quantity]]*Table1_2[[#This Row],[UnitPrice]]</f>
        <v>972.7</v>
      </c>
      <c r="Q1058" t="s">
        <v>2270</v>
      </c>
      <c r="R1058" t="str">
        <f t="shared" si="16"/>
        <v>Normal</v>
      </c>
    </row>
    <row r="1059" spans="1:18" x14ac:dyDescent="0.3">
      <c r="A1059" t="s">
        <v>1071</v>
      </c>
      <c r="B1059" s="3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  <c r="P1059">
        <f>Table1_2[[#This Row],[Quantity]]*Table1_2[[#This Row],[UnitPrice]]</f>
        <v>1286.6399999999999</v>
      </c>
      <c r="Q1059" t="s">
        <v>2271</v>
      </c>
      <c r="R1059" t="str">
        <f t="shared" si="16"/>
        <v>Normal</v>
      </c>
    </row>
    <row r="1060" spans="1:18" x14ac:dyDescent="0.3">
      <c r="A1060" t="s">
        <v>1072</v>
      </c>
      <c r="B1060" s="3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  <c r="P1060">
        <f>Table1_2[[#This Row],[Quantity]]*Table1_2[[#This Row],[UnitPrice]]</f>
        <v>824.28</v>
      </c>
      <c r="Q1060" t="s">
        <v>2272</v>
      </c>
      <c r="R1060" t="str">
        <f t="shared" si="16"/>
        <v>Normal</v>
      </c>
    </row>
    <row r="1061" spans="1:18" x14ac:dyDescent="0.3">
      <c r="A1061" t="s">
        <v>1073</v>
      </c>
      <c r="B1061" s="3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  <c r="P1061">
        <f>Table1_2[[#This Row],[Quantity]]*Table1_2[[#This Row],[UnitPrice]]</f>
        <v>265.64</v>
      </c>
      <c r="Q1061" t="s">
        <v>2273</v>
      </c>
      <c r="R1061" t="str">
        <f t="shared" si="16"/>
        <v>Normal</v>
      </c>
    </row>
    <row r="1062" spans="1:18" x14ac:dyDescent="0.3">
      <c r="A1062" t="s">
        <v>1074</v>
      </c>
      <c r="B1062" s="3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  <c r="P1062">
        <f>Table1_2[[#This Row],[Quantity]]*Table1_2[[#This Row],[UnitPrice]]</f>
        <v>546.86</v>
      </c>
      <c r="Q1062" t="s">
        <v>2274</v>
      </c>
      <c r="R1062" t="str">
        <f t="shared" si="16"/>
        <v>Normal</v>
      </c>
    </row>
    <row r="1063" spans="1:18" x14ac:dyDescent="0.3">
      <c r="A1063" t="s">
        <v>1075</v>
      </c>
      <c r="B1063" s="3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  <c r="P1063">
        <f>Table1_2[[#This Row],[Quantity]]*Table1_2[[#This Row],[UnitPrice]]</f>
        <v>658.5</v>
      </c>
      <c r="Q1063" t="s">
        <v>2275</v>
      </c>
      <c r="R1063" t="str">
        <f t="shared" si="16"/>
        <v>Normal</v>
      </c>
    </row>
    <row r="1064" spans="1:18" x14ac:dyDescent="0.3">
      <c r="A1064" t="s">
        <v>1076</v>
      </c>
      <c r="B1064" s="3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4303</v>
      </c>
      <c r="M1064" t="s">
        <v>4281</v>
      </c>
      <c r="N1064">
        <v>427.6</v>
      </c>
      <c r="P1064">
        <f>Table1_2[[#This Row],[Quantity]]*Table1_2[[#This Row],[UnitPrice]]</f>
        <v>427.59999999999997</v>
      </c>
      <c r="Q1064" t="s">
        <v>2276</v>
      </c>
      <c r="R1064" t="str">
        <f t="shared" si="16"/>
        <v>Normal</v>
      </c>
    </row>
    <row r="1065" spans="1:18" x14ac:dyDescent="0.3">
      <c r="A1065" t="s">
        <v>1077</v>
      </c>
      <c r="B1065" s="3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  <c r="P1065">
        <f>Table1_2[[#This Row],[Quantity]]*Table1_2[[#This Row],[UnitPrice]]</f>
        <v>641.36</v>
      </c>
      <c r="Q1065" t="s">
        <v>2277</v>
      </c>
      <c r="R1065" t="str">
        <f t="shared" si="16"/>
        <v>Normal</v>
      </c>
    </row>
    <row r="1066" spans="1:18" x14ac:dyDescent="0.3">
      <c r="A1066" t="s">
        <v>1078</v>
      </c>
      <c r="B1066" s="3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  <c r="P1066">
        <f>Table1_2[[#This Row],[Quantity]]*Table1_2[[#This Row],[UnitPrice]]</f>
        <v>795.24</v>
      </c>
      <c r="Q1066" t="s">
        <v>2278</v>
      </c>
      <c r="R1066" t="str">
        <f t="shared" si="16"/>
        <v>Normal</v>
      </c>
    </row>
    <row r="1067" spans="1:18" x14ac:dyDescent="0.3">
      <c r="A1067" t="s">
        <v>1079</v>
      </c>
      <c r="B1067" s="3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  <c r="P1067">
        <f>Table1_2[[#This Row],[Quantity]]*Table1_2[[#This Row],[UnitPrice]]</f>
        <v>3334</v>
      </c>
      <c r="Q1067" t="s">
        <v>2279</v>
      </c>
      <c r="R1067" t="str">
        <f t="shared" si="16"/>
        <v>Outlier</v>
      </c>
    </row>
    <row r="1068" spans="1:18" x14ac:dyDescent="0.3">
      <c r="A1068" t="s">
        <v>1080</v>
      </c>
      <c r="B1068" s="3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  <c r="P1068">
        <f>Table1_2[[#This Row],[Quantity]]*Table1_2[[#This Row],[UnitPrice]]</f>
        <v>355.09</v>
      </c>
      <c r="Q1068" t="s">
        <v>2280</v>
      </c>
      <c r="R1068" t="str">
        <f t="shared" si="16"/>
        <v>Normal</v>
      </c>
    </row>
    <row r="1069" spans="1:18" x14ac:dyDescent="0.3">
      <c r="A1069" t="s">
        <v>1081</v>
      </c>
      <c r="B1069" s="3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4303</v>
      </c>
      <c r="M1069" t="s">
        <v>4278</v>
      </c>
      <c r="N1069">
        <v>632.4</v>
      </c>
      <c r="P1069">
        <f>Table1_2[[#This Row],[Quantity]]*Table1_2[[#This Row],[UnitPrice]]</f>
        <v>632.4</v>
      </c>
      <c r="Q1069" t="s">
        <v>2281</v>
      </c>
      <c r="R1069" t="str">
        <f t="shared" si="16"/>
        <v>Normal</v>
      </c>
    </row>
    <row r="1070" spans="1:18" x14ac:dyDescent="0.3">
      <c r="A1070" t="s">
        <v>1082</v>
      </c>
      <c r="B1070" s="3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  <c r="P1070">
        <f>Table1_2[[#This Row],[Quantity]]*Table1_2[[#This Row],[UnitPrice]]</f>
        <v>133.38999999999999</v>
      </c>
      <c r="Q1070" t="s">
        <v>2282</v>
      </c>
      <c r="R1070" t="str">
        <f t="shared" si="16"/>
        <v>Normal</v>
      </c>
    </row>
    <row r="1071" spans="1:18" x14ac:dyDescent="0.3">
      <c r="A1071" t="s">
        <v>1083</v>
      </c>
      <c r="B1071" s="3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4303</v>
      </c>
      <c r="M1071" t="s">
        <v>4281</v>
      </c>
      <c r="N1071">
        <v>454.23</v>
      </c>
      <c r="P1071">
        <f>Table1_2[[#This Row],[Quantity]]*Table1_2[[#This Row],[UnitPrice]]</f>
        <v>454.23</v>
      </c>
      <c r="Q1071" t="s">
        <v>2283</v>
      </c>
      <c r="R1071" t="str">
        <f t="shared" si="16"/>
        <v>Normal</v>
      </c>
    </row>
    <row r="1072" spans="1:18" x14ac:dyDescent="0.3">
      <c r="A1072" t="s">
        <v>1084</v>
      </c>
      <c r="B1072" s="3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4303</v>
      </c>
      <c r="M1072" t="s">
        <v>4280</v>
      </c>
      <c r="N1072">
        <v>1965.16</v>
      </c>
      <c r="P1072">
        <f>Table1_2[[#This Row],[Quantity]]*Table1_2[[#This Row],[UnitPrice]]</f>
        <v>1965.16</v>
      </c>
      <c r="Q1072" t="s">
        <v>2284</v>
      </c>
      <c r="R1072" t="str">
        <f t="shared" si="16"/>
        <v>Normal</v>
      </c>
    </row>
    <row r="1073" spans="1:18" x14ac:dyDescent="0.3">
      <c r="A1073" t="s">
        <v>1085</v>
      </c>
      <c r="B1073" s="3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4303</v>
      </c>
      <c r="M1073" t="s">
        <v>4282</v>
      </c>
      <c r="N1073">
        <v>510.28</v>
      </c>
      <c r="P1073">
        <f>Table1_2[[#This Row],[Quantity]]*Table1_2[[#This Row],[UnitPrice]]</f>
        <v>510.28</v>
      </c>
      <c r="Q1073" t="s">
        <v>2285</v>
      </c>
      <c r="R1073" t="str">
        <f t="shared" si="16"/>
        <v>Normal</v>
      </c>
    </row>
    <row r="1074" spans="1:18" x14ac:dyDescent="0.3">
      <c r="A1074" t="s">
        <v>1086</v>
      </c>
      <c r="B1074" s="3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  <c r="P1074">
        <f>Table1_2[[#This Row],[Quantity]]*Table1_2[[#This Row],[UnitPrice]]</f>
        <v>392.61</v>
      </c>
      <c r="Q1074" t="s">
        <v>2286</v>
      </c>
      <c r="R1074" t="str">
        <f t="shared" si="16"/>
        <v>Normal</v>
      </c>
    </row>
    <row r="1075" spans="1:18" x14ac:dyDescent="0.3">
      <c r="A1075" t="s">
        <v>1087</v>
      </c>
      <c r="B1075" s="3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4303</v>
      </c>
      <c r="M1075" t="s">
        <v>4281</v>
      </c>
      <c r="N1075">
        <v>1448.24</v>
      </c>
      <c r="P1075">
        <f>Table1_2[[#This Row],[Quantity]]*Table1_2[[#This Row],[UnitPrice]]</f>
        <v>1448.24</v>
      </c>
      <c r="Q1075" t="s">
        <v>2287</v>
      </c>
      <c r="R1075" t="str">
        <f t="shared" si="16"/>
        <v>Normal</v>
      </c>
    </row>
    <row r="1076" spans="1:18" x14ac:dyDescent="0.3">
      <c r="A1076" t="s">
        <v>1088</v>
      </c>
      <c r="B1076" s="3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4303</v>
      </c>
      <c r="M1076" t="s">
        <v>4282</v>
      </c>
      <c r="N1076">
        <v>222.73</v>
      </c>
      <c r="P1076">
        <f>Table1_2[[#This Row],[Quantity]]*Table1_2[[#This Row],[UnitPrice]]</f>
        <v>222.73</v>
      </c>
      <c r="Q1076" t="s">
        <v>2288</v>
      </c>
      <c r="R1076" t="str">
        <f t="shared" si="16"/>
        <v>Normal</v>
      </c>
    </row>
    <row r="1077" spans="1:18" x14ac:dyDescent="0.3">
      <c r="A1077" t="s">
        <v>1089</v>
      </c>
      <c r="B1077" s="3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  <c r="P1077">
        <f>Table1_2[[#This Row],[Quantity]]*Table1_2[[#This Row],[UnitPrice]]</f>
        <v>1105.26</v>
      </c>
      <c r="Q1077" t="s">
        <v>2289</v>
      </c>
      <c r="R1077" t="str">
        <f t="shared" si="16"/>
        <v>Normal</v>
      </c>
    </row>
    <row r="1078" spans="1:18" x14ac:dyDescent="0.3">
      <c r="A1078" t="s">
        <v>1090</v>
      </c>
      <c r="B1078" s="3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4303</v>
      </c>
      <c r="M1078" t="s">
        <v>4279</v>
      </c>
      <c r="N1078">
        <v>2746.44</v>
      </c>
      <c r="P1078">
        <f>Table1_2[[#This Row],[Quantity]]*Table1_2[[#This Row],[UnitPrice]]</f>
        <v>2746.44</v>
      </c>
      <c r="Q1078" t="s">
        <v>2290</v>
      </c>
      <c r="R1078" t="str">
        <f t="shared" si="16"/>
        <v>Outlier</v>
      </c>
    </row>
    <row r="1079" spans="1:18" x14ac:dyDescent="0.3">
      <c r="A1079" t="s">
        <v>1091</v>
      </c>
      <c r="B1079" s="3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  <c r="P1079">
        <f>Table1_2[[#This Row],[Quantity]]*Table1_2[[#This Row],[UnitPrice]]</f>
        <v>915.48</v>
      </c>
      <c r="Q1079" t="s">
        <v>2291</v>
      </c>
      <c r="R1079" t="str">
        <f t="shared" si="16"/>
        <v>Normal</v>
      </c>
    </row>
    <row r="1080" spans="1:18" x14ac:dyDescent="0.3">
      <c r="A1080" t="s">
        <v>1092</v>
      </c>
      <c r="B1080" s="3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  <c r="P1080">
        <f>Table1_2[[#This Row],[Quantity]]*Table1_2[[#This Row],[UnitPrice]]</f>
        <v>41.09</v>
      </c>
      <c r="Q1080" t="s">
        <v>2292</v>
      </c>
      <c r="R1080" t="str">
        <f t="shared" si="16"/>
        <v>Normal</v>
      </c>
    </row>
    <row r="1081" spans="1:18" x14ac:dyDescent="0.3">
      <c r="A1081" t="s">
        <v>1093</v>
      </c>
      <c r="B1081" s="3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4303</v>
      </c>
      <c r="M1081" t="s">
        <v>4280</v>
      </c>
      <c r="N1081">
        <v>3170</v>
      </c>
      <c r="P1081">
        <f>Table1_2[[#This Row],[Quantity]]*Table1_2[[#This Row],[UnitPrice]]</f>
        <v>3170</v>
      </c>
      <c r="Q1081" t="s">
        <v>2293</v>
      </c>
      <c r="R1081" t="str">
        <f t="shared" si="16"/>
        <v>Outlier</v>
      </c>
    </row>
    <row r="1082" spans="1:18" x14ac:dyDescent="0.3">
      <c r="A1082" t="s">
        <v>1094</v>
      </c>
      <c r="B1082" s="3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4303</v>
      </c>
      <c r="M1082" t="s">
        <v>4279</v>
      </c>
      <c r="N1082">
        <v>2323.6999999999998</v>
      </c>
      <c r="P1082">
        <f>Table1_2[[#This Row],[Quantity]]*Table1_2[[#This Row],[UnitPrice]]</f>
        <v>2323.6999999999998</v>
      </c>
      <c r="Q1082" t="s">
        <v>2294</v>
      </c>
      <c r="R1082" t="str">
        <f t="shared" si="16"/>
        <v>Outlier</v>
      </c>
    </row>
    <row r="1083" spans="1:18" x14ac:dyDescent="0.3">
      <c r="A1083" t="s">
        <v>1095</v>
      </c>
      <c r="B1083" s="3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  <c r="P1083">
        <f>Table1_2[[#This Row],[Quantity]]*Table1_2[[#This Row],[UnitPrice]]</f>
        <v>1702.4</v>
      </c>
      <c r="Q1083" t="s">
        <v>2295</v>
      </c>
      <c r="R1083" t="str">
        <f t="shared" si="16"/>
        <v>Normal</v>
      </c>
    </row>
    <row r="1084" spans="1:18" x14ac:dyDescent="0.3">
      <c r="A1084" t="s">
        <v>1096</v>
      </c>
      <c r="B1084" s="3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  <c r="P1084">
        <f>Table1_2[[#This Row],[Quantity]]*Table1_2[[#This Row],[UnitPrice]]</f>
        <v>1719.66</v>
      </c>
      <c r="Q1084" t="s">
        <v>2296</v>
      </c>
      <c r="R1084" t="str">
        <f t="shared" si="16"/>
        <v>Normal</v>
      </c>
    </row>
    <row r="1085" spans="1:18" x14ac:dyDescent="0.3">
      <c r="A1085" t="s">
        <v>1097</v>
      </c>
      <c r="B1085" s="3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  <c r="P1085">
        <f>Table1_2[[#This Row],[Quantity]]*Table1_2[[#This Row],[UnitPrice]]</f>
        <v>123.28</v>
      </c>
      <c r="Q1085" t="s">
        <v>2297</v>
      </c>
      <c r="R1085" t="str">
        <f t="shared" si="16"/>
        <v>Normal</v>
      </c>
    </row>
    <row r="1086" spans="1:18" x14ac:dyDescent="0.3">
      <c r="A1086" t="s">
        <v>1098</v>
      </c>
      <c r="B1086" s="3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  <c r="P1086">
        <f>Table1_2[[#This Row],[Quantity]]*Table1_2[[#This Row],[UnitPrice]]</f>
        <v>70.819999999999993</v>
      </c>
      <c r="Q1086" t="s">
        <v>2298</v>
      </c>
      <c r="R1086" t="str">
        <f t="shared" si="16"/>
        <v>Normal</v>
      </c>
    </row>
    <row r="1087" spans="1:18" x14ac:dyDescent="0.3">
      <c r="A1087" t="s">
        <v>1099</v>
      </c>
      <c r="B1087" s="3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  <c r="P1087">
        <f>Table1_2[[#This Row],[Quantity]]*Table1_2[[#This Row],[UnitPrice]]</f>
        <v>1293.3800000000001</v>
      </c>
      <c r="Q1087" t="s">
        <v>2299</v>
      </c>
      <c r="R1087" t="str">
        <f t="shared" si="16"/>
        <v>Normal</v>
      </c>
    </row>
    <row r="1088" spans="1:18" x14ac:dyDescent="0.3">
      <c r="A1088" t="s">
        <v>1100</v>
      </c>
      <c r="B1088" s="3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  <c r="P1088">
        <f>Table1_2[[#This Row],[Quantity]]*Table1_2[[#This Row],[UnitPrice]]</f>
        <v>1026.8399999999999</v>
      </c>
      <c r="Q1088" t="s">
        <v>2300</v>
      </c>
      <c r="R1088" t="str">
        <f t="shared" si="16"/>
        <v>Normal</v>
      </c>
    </row>
    <row r="1089" spans="1:18" x14ac:dyDescent="0.3">
      <c r="A1089" t="s">
        <v>1101</v>
      </c>
      <c r="B1089" s="3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  <c r="P1089">
        <f>Table1_2[[#This Row],[Quantity]]*Table1_2[[#This Row],[UnitPrice]]</f>
        <v>2772.28</v>
      </c>
      <c r="Q1089" t="s">
        <v>2301</v>
      </c>
      <c r="R1089" t="str">
        <f t="shared" si="16"/>
        <v>Outlier</v>
      </c>
    </row>
    <row r="1090" spans="1:18" x14ac:dyDescent="0.3">
      <c r="A1090" t="s">
        <v>1102</v>
      </c>
      <c r="B1090" s="3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  <c r="P1090">
        <f>Table1_2[[#This Row],[Quantity]]*Table1_2[[#This Row],[UnitPrice]]</f>
        <v>1474.29</v>
      </c>
      <c r="Q1090" t="s">
        <v>2302</v>
      </c>
      <c r="R1090" t="str">
        <f t="shared" si="16"/>
        <v>Normal</v>
      </c>
    </row>
    <row r="1091" spans="1:18" x14ac:dyDescent="0.3">
      <c r="A1091" t="s">
        <v>1103</v>
      </c>
      <c r="B1091" s="3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4303</v>
      </c>
      <c r="M1091" t="s">
        <v>4278</v>
      </c>
      <c r="N1091">
        <v>1199.48</v>
      </c>
      <c r="P1091">
        <f>Table1_2[[#This Row],[Quantity]]*Table1_2[[#This Row],[UnitPrice]]</f>
        <v>1199.48</v>
      </c>
      <c r="Q1091" t="s">
        <v>2303</v>
      </c>
      <c r="R1091" t="str">
        <f t="shared" ref="R1091:R1154" si="17">IF(OR(N1091&lt;$S$2-1.5*($T$2-$S$2),N1091&gt;$S$2+1.5*($T$2-$S$2)), "Outlier", "Normal")</f>
        <v>Normal</v>
      </c>
    </row>
    <row r="1092" spans="1:18" x14ac:dyDescent="0.3">
      <c r="A1092" t="s">
        <v>1104</v>
      </c>
      <c r="B1092" s="3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4303</v>
      </c>
      <c r="M1092" t="s">
        <v>4278</v>
      </c>
      <c r="N1092">
        <v>1300.5</v>
      </c>
      <c r="P1092">
        <f>Table1_2[[#This Row],[Quantity]]*Table1_2[[#This Row],[UnitPrice]]</f>
        <v>1300.5</v>
      </c>
      <c r="Q1092" t="s">
        <v>2304</v>
      </c>
      <c r="R1092" t="str">
        <f t="shared" si="17"/>
        <v>Normal</v>
      </c>
    </row>
    <row r="1093" spans="1:18" x14ac:dyDescent="0.3">
      <c r="A1093" t="s">
        <v>1105</v>
      </c>
      <c r="B1093" s="3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4303</v>
      </c>
      <c r="M1093" t="s">
        <v>4280</v>
      </c>
      <c r="N1093">
        <v>628.43999999999994</v>
      </c>
      <c r="P1093">
        <f>Table1_2[[#This Row],[Quantity]]*Table1_2[[#This Row],[UnitPrice]]</f>
        <v>628.43999999999994</v>
      </c>
      <c r="Q1093" t="s">
        <v>2305</v>
      </c>
      <c r="R1093" t="str">
        <f t="shared" si="17"/>
        <v>Normal</v>
      </c>
    </row>
    <row r="1094" spans="1:18" x14ac:dyDescent="0.3">
      <c r="A1094" t="s">
        <v>1106</v>
      </c>
      <c r="B1094" s="3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  <c r="P1094">
        <f>Table1_2[[#This Row],[Quantity]]*Table1_2[[#This Row],[UnitPrice]]</f>
        <v>1046</v>
      </c>
      <c r="Q1094" t="s">
        <v>2306</v>
      </c>
      <c r="R1094" t="str">
        <f t="shared" si="17"/>
        <v>Normal</v>
      </c>
    </row>
    <row r="1095" spans="1:18" x14ac:dyDescent="0.3">
      <c r="A1095" t="s">
        <v>1107</v>
      </c>
      <c r="B1095" s="3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  <c r="P1095">
        <f>Table1_2[[#This Row],[Quantity]]*Table1_2[[#This Row],[UnitPrice]]</f>
        <v>789.44</v>
      </c>
      <c r="Q1095" t="s">
        <v>2307</v>
      </c>
      <c r="R1095" t="str">
        <f t="shared" si="17"/>
        <v>Normal</v>
      </c>
    </row>
    <row r="1096" spans="1:18" x14ac:dyDescent="0.3">
      <c r="A1096" t="s">
        <v>1108</v>
      </c>
      <c r="B1096" s="3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  <c r="P1096">
        <f>Table1_2[[#This Row],[Quantity]]*Table1_2[[#This Row],[UnitPrice]]</f>
        <v>2595.64</v>
      </c>
      <c r="Q1096" t="s">
        <v>2308</v>
      </c>
      <c r="R1096" t="str">
        <f t="shared" si="17"/>
        <v>Outlier</v>
      </c>
    </row>
    <row r="1097" spans="1:18" x14ac:dyDescent="0.3">
      <c r="A1097" t="s">
        <v>1109</v>
      </c>
      <c r="B1097" s="3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  <c r="P1097">
        <f>Table1_2[[#This Row],[Quantity]]*Table1_2[[#This Row],[UnitPrice]]</f>
        <v>883.08</v>
      </c>
      <c r="Q1097" t="s">
        <v>2309</v>
      </c>
      <c r="R1097" t="str">
        <f t="shared" si="17"/>
        <v>Normal</v>
      </c>
    </row>
    <row r="1098" spans="1:18" x14ac:dyDescent="0.3">
      <c r="A1098" t="s">
        <v>1110</v>
      </c>
      <c r="B1098" s="3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4303</v>
      </c>
      <c r="M1098" t="s">
        <v>4281</v>
      </c>
      <c r="N1098">
        <v>929.84</v>
      </c>
      <c r="P1098">
        <f>Table1_2[[#This Row],[Quantity]]*Table1_2[[#This Row],[UnitPrice]]</f>
        <v>929.84</v>
      </c>
      <c r="Q1098" t="s">
        <v>2310</v>
      </c>
      <c r="R1098" t="str">
        <f t="shared" si="17"/>
        <v>Normal</v>
      </c>
    </row>
    <row r="1099" spans="1:18" x14ac:dyDescent="0.3">
      <c r="A1099" t="s">
        <v>1111</v>
      </c>
      <c r="B1099" s="3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  <c r="P1099">
        <f>Table1_2[[#This Row],[Quantity]]*Table1_2[[#This Row],[UnitPrice]]</f>
        <v>2532.25</v>
      </c>
      <c r="Q1099" t="s">
        <v>2311</v>
      </c>
      <c r="R1099" t="str">
        <f t="shared" si="17"/>
        <v>Outlier</v>
      </c>
    </row>
    <row r="1100" spans="1:18" x14ac:dyDescent="0.3">
      <c r="A1100" t="s">
        <v>1112</v>
      </c>
      <c r="B1100" s="3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4303</v>
      </c>
      <c r="M1100" t="s">
        <v>4280</v>
      </c>
      <c r="N1100">
        <v>1023.44</v>
      </c>
      <c r="P1100">
        <f>Table1_2[[#This Row],[Quantity]]*Table1_2[[#This Row],[UnitPrice]]</f>
        <v>1023.44</v>
      </c>
      <c r="Q1100" t="s">
        <v>2312</v>
      </c>
      <c r="R1100" t="str">
        <f t="shared" si="17"/>
        <v>Normal</v>
      </c>
    </row>
    <row r="1101" spans="1:18" x14ac:dyDescent="0.3">
      <c r="A1101" t="s">
        <v>1113</v>
      </c>
      <c r="B1101" s="3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  <c r="P1101">
        <f>Table1_2[[#This Row],[Quantity]]*Table1_2[[#This Row],[UnitPrice]]</f>
        <v>250.46</v>
      </c>
      <c r="Q1101" t="s">
        <v>2313</v>
      </c>
      <c r="R1101" t="str">
        <f t="shared" si="17"/>
        <v>Normal</v>
      </c>
    </row>
    <row r="1102" spans="1:18" x14ac:dyDescent="0.3">
      <c r="A1102" t="s">
        <v>1114</v>
      </c>
      <c r="B1102" s="3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  <c r="P1102">
        <f>Table1_2[[#This Row],[Quantity]]*Table1_2[[#This Row],[UnitPrice]]</f>
        <v>190.55</v>
      </c>
      <c r="Q1102" t="s">
        <v>2314</v>
      </c>
      <c r="R1102" t="str">
        <f t="shared" si="17"/>
        <v>Normal</v>
      </c>
    </row>
    <row r="1103" spans="1:18" x14ac:dyDescent="0.3">
      <c r="A1103" t="s">
        <v>1115</v>
      </c>
      <c r="B1103" s="3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  <c r="P1103">
        <f>Table1_2[[#This Row],[Quantity]]*Table1_2[[#This Row],[UnitPrice]]</f>
        <v>485.90999999999997</v>
      </c>
      <c r="Q1103" t="s">
        <v>2315</v>
      </c>
      <c r="R1103" t="str">
        <f t="shared" si="17"/>
        <v>Normal</v>
      </c>
    </row>
    <row r="1104" spans="1:18" x14ac:dyDescent="0.3">
      <c r="A1104" t="s">
        <v>1116</v>
      </c>
      <c r="B1104" s="3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4303</v>
      </c>
      <c r="M1104" t="s">
        <v>4278</v>
      </c>
      <c r="N1104">
        <v>1388.68</v>
      </c>
      <c r="P1104">
        <f>Table1_2[[#This Row],[Quantity]]*Table1_2[[#This Row],[UnitPrice]]</f>
        <v>1388.68</v>
      </c>
      <c r="Q1104" t="s">
        <v>2316</v>
      </c>
      <c r="R1104" t="str">
        <f t="shared" si="17"/>
        <v>Normal</v>
      </c>
    </row>
    <row r="1105" spans="1:18" x14ac:dyDescent="0.3">
      <c r="A1105" t="s">
        <v>1117</v>
      </c>
      <c r="B1105" s="3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4303</v>
      </c>
      <c r="M1105" t="s">
        <v>4282</v>
      </c>
      <c r="N1105">
        <v>1105.28</v>
      </c>
      <c r="P1105">
        <f>Table1_2[[#This Row],[Quantity]]*Table1_2[[#This Row],[UnitPrice]]</f>
        <v>1105.28</v>
      </c>
      <c r="Q1105" t="s">
        <v>2317</v>
      </c>
      <c r="R1105" t="str">
        <f t="shared" si="17"/>
        <v>Normal</v>
      </c>
    </row>
    <row r="1106" spans="1:18" x14ac:dyDescent="0.3">
      <c r="A1106" t="s">
        <v>1118</v>
      </c>
      <c r="B1106" s="3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4303</v>
      </c>
      <c r="M1106" t="s">
        <v>4278</v>
      </c>
      <c r="N1106">
        <v>1259.04</v>
      </c>
      <c r="P1106">
        <f>Table1_2[[#This Row],[Quantity]]*Table1_2[[#This Row],[UnitPrice]]</f>
        <v>1259.04</v>
      </c>
      <c r="Q1106" t="s">
        <v>2318</v>
      </c>
      <c r="R1106" t="str">
        <f t="shared" si="17"/>
        <v>Normal</v>
      </c>
    </row>
    <row r="1107" spans="1:18" x14ac:dyDescent="0.3">
      <c r="A1107" t="s">
        <v>1119</v>
      </c>
      <c r="B1107" s="3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  <c r="P1107">
        <f>Table1_2[[#This Row],[Quantity]]*Table1_2[[#This Row],[UnitPrice]]</f>
        <v>1427.07</v>
      </c>
      <c r="Q1107" t="s">
        <v>2319</v>
      </c>
      <c r="R1107" t="str">
        <f t="shared" si="17"/>
        <v>Normal</v>
      </c>
    </row>
    <row r="1108" spans="1:18" x14ac:dyDescent="0.3">
      <c r="A1108" t="s">
        <v>1120</v>
      </c>
      <c r="B1108" s="3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  <c r="P1108">
        <f>Table1_2[[#This Row],[Quantity]]*Table1_2[[#This Row],[UnitPrice]]</f>
        <v>372.8</v>
      </c>
      <c r="Q1108" t="s">
        <v>2320</v>
      </c>
      <c r="R1108" t="str">
        <f t="shared" si="17"/>
        <v>Normal</v>
      </c>
    </row>
    <row r="1109" spans="1:18" x14ac:dyDescent="0.3">
      <c r="A1109" t="s">
        <v>1121</v>
      </c>
      <c r="B1109" s="3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  <c r="P1109">
        <f>Table1_2[[#This Row],[Quantity]]*Table1_2[[#This Row],[UnitPrice]]</f>
        <v>126.42</v>
      </c>
      <c r="Q1109" t="s">
        <v>2321</v>
      </c>
      <c r="R1109" t="str">
        <f t="shared" si="17"/>
        <v>Normal</v>
      </c>
    </row>
    <row r="1110" spans="1:18" x14ac:dyDescent="0.3">
      <c r="A1110" t="s">
        <v>1122</v>
      </c>
      <c r="B1110" s="3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  <c r="P1110">
        <f>Table1_2[[#This Row],[Quantity]]*Table1_2[[#This Row],[UnitPrice]]</f>
        <v>634.94000000000005</v>
      </c>
      <c r="Q1110" t="s">
        <v>2322</v>
      </c>
      <c r="R1110" t="str">
        <f t="shared" si="17"/>
        <v>Normal</v>
      </c>
    </row>
    <row r="1111" spans="1:18" x14ac:dyDescent="0.3">
      <c r="A1111" t="s">
        <v>1123</v>
      </c>
      <c r="B1111" s="3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  <c r="P1111">
        <f>Table1_2[[#This Row],[Quantity]]*Table1_2[[#This Row],[UnitPrice]]</f>
        <v>309.88</v>
      </c>
      <c r="Q1111" t="s">
        <v>2323</v>
      </c>
      <c r="R1111" t="str">
        <f t="shared" si="17"/>
        <v>Normal</v>
      </c>
    </row>
    <row r="1112" spans="1:18" x14ac:dyDescent="0.3">
      <c r="A1112" t="s">
        <v>1124</v>
      </c>
      <c r="B1112" s="3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  <c r="P1112">
        <f>Table1_2[[#This Row],[Quantity]]*Table1_2[[#This Row],[UnitPrice]]</f>
        <v>252.93</v>
      </c>
      <c r="Q1112" t="s">
        <v>2324</v>
      </c>
      <c r="R1112" t="str">
        <f t="shared" si="17"/>
        <v>Normal</v>
      </c>
    </row>
    <row r="1113" spans="1:18" x14ac:dyDescent="0.3">
      <c r="A1113" t="s">
        <v>1125</v>
      </c>
      <c r="B1113" s="3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  <c r="P1113">
        <f>Table1_2[[#This Row],[Quantity]]*Table1_2[[#This Row],[UnitPrice]]</f>
        <v>937.8</v>
      </c>
      <c r="Q1113" t="s">
        <v>2325</v>
      </c>
      <c r="R1113" t="str">
        <f t="shared" si="17"/>
        <v>Normal</v>
      </c>
    </row>
    <row r="1114" spans="1:18" x14ac:dyDescent="0.3">
      <c r="A1114" t="s">
        <v>1126</v>
      </c>
      <c r="B1114" s="3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  <c r="P1114">
        <f>Table1_2[[#This Row],[Quantity]]*Table1_2[[#This Row],[UnitPrice]]</f>
        <v>356.81</v>
      </c>
      <c r="Q1114" t="s">
        <v>2326</v>
      </c>
      <c r="R1114" t="str">
        <f t="shared" si="17"/>
        <v>Normal</v>
      </c>
    </row>
    <row r="1115" spans="1:18" x14ac:dyDescent="0.3">
      <c r="A1115" t="s">
        <v>1127</v>
      </c>
      <c r="B1115" s="3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4303</v>
      </c>
      <c r="M1115" t="s">
        <v>4282</v>
      </c>
      <c r="N1115">
        <v>839.96</v>
      </c>
      <c r="P1115">
        <f>Table1_2[[#This Row],[Quantity]]*Table1_2[[#This Row],[UnitPrice]]</f>
        <v>839.96</v>
      </c>
      <c r="Q1115" t="s">
        <v>2327</v>
      </c>
      <c r="R1115" t="str">
        <f t="shared" si="17"/>
        <v>Normal</v>
      </c>
    </row>
    <row r="1116" spans="1:18" x14ac:dyDescent="0.3">
      <c r="A1116" t="s">
        <v>1128</v>
      </c>
      <c r="B1116" s="3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4303</v>
      </c>
      <c r="M1116" t="s">
        <v>4282</v>
      </c>
      <c r="N1116">
        <v>1979.64</v>
      </c>
      <c r="P1116">
        <f>Table1_2[[#This Row],[Quantity]]*Table1_2[[#This Row],[UnitPrice]]</f>
        <v>1979.6399999999999</v>
      </c>
      <c r="Q1116" t="s">
        <v>2328</v>
      </c>
      <c r="R1116" t="str">
        <f t="shared" si="17"/>
        <v>Normal</v>
      </c>
    </row>
    <row r="1117" spans="1:18" x14ac:dyDescent="0.3">
      <c r="A1117" t="s">
        <v>1129</v>
      </c>
      <c r="B1117" s="3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4303</v>
      </c>
      <c r="M1117" t="s">
        <v>4282</v>
      </c>
      <c r="N1117">
        <v>672.64</v>
      </c>
      <c r="P1117">
        <f>Table1_2[[#This Row],[Quantity]]*Table1_2[[#This Row],[UnitPrice]]</f>
        <v>672.64</v>
      </c>
      <c r="Q1117" t="s">
        <v>2329</v>
      </c>
      <c r="R1117" t="str">
        <f t="shared" si="17"/>
        <v>Normal</v>
      </c>
    </row>
    <row r="1118" spans="1:18" x14ac:dyDescent="0.3">
      <c r="A1118" t="s">
        <v>1130</v>
      </c>
      <c r="B1118" s="3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  <c r="P1118">
        <f>Table1_2[[#This Row],[Quantity]]*Table1_2[[#This Row],[UnitPrice]]</f>
        <v>1062.98</v>
      </c>
      <c r="Q1118" t="s">
        <v>2330</v>
      </c>
      <c r="R1118" t="str">
        <f t="shared" si="17"/>
        <v>Normal</v>
      </c>
    </row>
    <row r="1119" spans="1:18" x14ac:dyDescent="0.3">
      <c r="A1119" t="s">
        <v>1131</v>
      </c>
      <c r="B1119" s="3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  <c r="P1119">
        <f>Table1_2[[#This Row],[Quantity]]*Table1_2[[#This Row],[UnitPrice]]</f>
        <v>1765.3200000000002</v>
      </c>
      <c r="Q1119" t="s">
        <v>2331</v>
      </c>
      <c r="R1119" t="str">
        <f t="shared" si="17"/>
        <v>Normal</v>
      </c>
    </row>
    <row r="1120" spans="1:18" x14ac:dyDescent="0.3">
      <c r="A1120" t="s">
        <v>1132</v>
      </c>
      <c r="B1120" s="3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4303</v>
      </c>
      <c r="M1120" t="s">
        <v>4280</v>
      </c>
      <c r="N1120">
        <v>754.43999999999994</v>
      </c>
      <c r="P1120">
        <f>Table1_2[[#This Row],[Quantity]]*Table1_2[[#This Row],[UnitPrice]]</f>
        <v>754.43999999999994</v>
      </c>
      <c r="Q1120" t="s">
        <v>2332</v>
      </c>
      <c r="R1120" t="str">
        <f t="shared" si="17"/>
        <v>Normal</v>
      </c>
    </row>
    <row r="1121" spans="1:18" x14ac:dyDescent="0.3">
      <c r="A1121" t="s">
        <v>1133</v>
      </c>
      <c r="B1121" s="3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  <c r="P1121">
        <f>Table1_2[[#This Row],[Quantity]]*Table1_2[[#This Row],[UnitPrice]]</f>
        <v>684.65</v>
      </c>
      <c r="Q1121" t="s">
        <v>2333</v>
      </c>
      <c r="R1121" t="str">
        <f t="shared" si="17"/>
        <v>Normal</v>
      </c>
    </row>
    <row r="1122" spans="1:18" x14ac:dyDescent="0.3">
      <c r="A1122" t="s">
        <v>1134</v>
      </c>
      <c r="B1122" s="3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4303</v>
      </c>
      <c r="M1122" t="s">
        <v>4281</v>
      </c>
      <c r="N1122">
        <v>195.86</v>
      </c>
      <c r="P1122">
        <f>Table1_2[[#This Row],[Quantity]]*Table1_2[[#This Row],[UnitPrice]]</f>
        <v>195.86</v>
      </c>
      <c r="Q1122" t="s">
        <v>2334</v>
      </c>
      <c r="R1122" t="str">
        <f t="shared" si="17"/>
        <v>Normal</v>
      </c>
    </row>
    <row r="1123" spans="1:18" x14ac:dyDescent="0.3">
      <c r="A1123" t="s">
        <v>1135</v>
      </c>
      <c r="B1123" s="3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  <c r="P1123">
        <f>Table1_2[[#This Row],[Quantity]]*Table1_2[[#This Row],[UnitPrice]]</f>
        <v>151.02000000000001</v>
      </c>
      <c r="Q1123" t="s">
        <v>2335</v>
      </c>
      <c r="R1123" t="str">
        <f t="shared" si="17"/>
        <v>Normal</v>
      </c>
    </row>
    <row r="1124" spans="1:18" x14ac:dyDescent="0.3">
      <c r="A1124" t="s">
        <v>1136</v>
      </c>
      <c r="B1124" s="3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4303</v>
      </c>
      <c r="M1124" t="s">
        <v>4281</v>
      </c>
      <c r="N1124">
        <v>3390.95</v>
      </c>
      <c r="P1124">
        <f>Table1_2[[#This Row],[Quantity]]*Table1_2[[#This Row],[UnitPrice]]</f>
        <v>3390.9500000000003</v>
      </c>
      <c r="Q1124" t="s">
        <v>2336</v>
      </c>
      <c r="R1124" t="str">
        <f t="shared" si="17"/>
        <v>Outlier</v>
      </c>
    </row>
    <row r="1125" spans="1:18" x14ac:dyDescent="0.3">
      <c r="A1125" t="s">
        <v>1137</v>
      </c>
      <c r="B1125" s="3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  <c r="P1125">
        <f>Table1_2[[#This Row],[Quantity]]*Table1_2[[#This Row],[UnitPrice]]</f>
        <v>1662.75</v>
      </c>
      <c r="Q1125" t="s">
        <v>2337</v>
      </c>
      <c r="R1125" t="str">
        <f t="shared" si="17"/>
        <v>Normal</v>
      </c>
    </row>
    <row r="1126" spans="1:18" x14ac:dyDescent="0.3">
      <c r="A1126" t="s">
        <v>1138</v>
      </c>
      <c r="B1126" s="3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4303</v>
      </c>
      <c r="M1126" t="s">
        <v>4278</v>
      </c>
      <c r="N1126">
        <v>2307.48</v>
      </c>
      <c r="P1126">
        <f>Table1_2[[#This Row],[Quantity]]*Table1_2[[#This Row],[UnitPrice]]</f>
        <v>2307.48</v>
      </c>
      <c r="Q1126" t="s">
        <v>2338</v>
      </c>
      <c r="R1126" t="str">
        <f t="shared" si="17"/>
        <v>Outlier</v>
      </c>
    </row>
    <row r="1127" spans="1:18" x14ac:dyDescent="0.3">
      <c r="A1127" t="s">
        <v>1139</v>
      </c>
      <c r="B1127" s="3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  <c r="P1127">
        <f>Table1_2[[#This Row],[Quantity]]*Table1_2[[#This Row],[UnitPrice]]</f>
        <v>1633.44</v>
      </c>
      <c r="Q1127" t="s">
        <v>2339</v>
      </c>
      <c r="R1127" t="str">
        <f t="shared" si="17"/>
        <v>Normal</v>
      </c>
    </row>
    <row r="1128" spans="1:18" x14ac:dyDescent="0.3">
      <c r="A1128" t="s">
        <v>1140</v>
      </c>
      <c r="B1128" s="3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  <c r="P1128">
        <f>Table1_2[[#This Row],[Quantity]]*Table1_2[[#This Row],[UnitPrice]]</f>
        <v>950.55000000000007</v>
      </c>
      <c r="Q1128" t="s">
        <v>2340</v>
      </c>
      <c r="R1128" t="str">
        <f t="shared" si="17"/>
        <v>Normal</v>
      </c>
    </row>
    <row r="1129" spans="1:18" x14ac:dyDescent="0.3">
      <c r="A1129" t="s">
        <v>1141</v>
      </c>
      <c r="B1129" s="3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  <c r="P1129">
        <f>Table1_2[[#This Row],[Quantity]]*Table1_2[[#This Row],[UnitPrice]]</f>
        <v>1808.25</v>
      </c>
      <c r="Q1129" t="s">
        <v>2341</v>
      </c>
      <c r="R1129" t="str">
        <f t="shared" si="17"/>
        <v>Normal</v>
      </c>
    </row>
    <row r="1130" spans="1:18" x14ac:dyDescent="0.3">
      <c r="A1130" t="s">
        <v>1142</v>
      </c>
      <c r="B1130" s="3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  <c r="P1130">
        <f>Table1_2[[#This Row],[Quantity]]*Table1_2[[#This Row],[UnitPrice]]</f>
        <v>1940.37</v>
      </c>
      <c r="Q1130" t="s">
        <v>2342</v>
      </c>
      <c r="R1130" t="str">
        <f t="shared" si="17"/>
        <v>Normal</v>
      </c>
    </row>
    <row r="1131" spans="1:18" x14ac:dyDescent="0.3">
      <c r="A1131" t="s">
        <v>1143</v>
      </c>
      <c r="B1131" s="3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  <c r="P1131">
        <f>Table1_2[[#This Row],[Quantity]]*Table1_2[[#This Row],[UnitPrice]]</f>
        <v>1674.84</v>
      </c>
      <c r="Q1131" t="s">
        <v>2343</v>
      </c>
      <c r="R1131" t="str">
        <f t="shared" si="17"/>
        <v>Normal</v>
      </c>
    </row>
    <row r="1132" spans="1:18" x14ac:dyDescent="0.3">
      <c r="A1132" t="s">
        <v>1144</v>
      </c>
      <c r="B1132" s="3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  <c r="P1132">
        <f>Table1_2[[#This Row],[Quantity]]*Table1_2[[#This Row],[UnitPrice]]</f>
        <v>646.9</v>
      </c>
      <c r="Q1132" t="s">
        <v>2344</v>
      </c>
      <c r="R1132" t="str">
        <f t="shared" si="17"/>
        <v>Normal</v>
      </c>
    </row>
    <row r="1133" spans="1:18" x14ac:dyDescent="0.3">
      <c r="A1133" t="s">
        <v>1145</v>
      </c>
      <c r="B1133" s="3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  <c r="P1133">
        <f>Table1_2[[#This Row],[Quantity]]*Table1_2[[#This Row],[UnitPrice]]</f>
        <v>694.5</v>
      </c>
      <c r="Q1133" t="s">
        <v>2345</v>
      </c>
      <c r="R1133" t="str">
        <f t="shared" si="17"/>
        <v>Normal</v>
      </c>
    </row>
    <row r="1134" spans="1:18" x14ac:dyDescent="0.3">
      <c r="A1134" t="s">
        <v>1146</v>
      </c>
      <c r="B1134" s="3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  <c r="P1134">
        <f>Table1_2[[#This Row],[Quantity]]*Table1_2[[#This Row],[UnitPrice]]</f>
        <v>674.64</v>
      </c>
      <c r="Q1134" t="s">
        <v>2346</v>
      </c>
      <c r="R1134" t="str">
        <f t="shared" si="17"/>
        <v>Normal</v>
      </c>
    </row>
    <row r="1135" spans="1:18" x14ac:dyDescent="0.3">
      <c r="A1135" t="s">
        <v>1147</v>
      </c>
      <c r="B1135" s="3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  <c r="P1135">
        <f>Table1_2[[#This Row],[Quantity]]*Table1_2[[#This Row],[UnitPrice]]</f>
        <v>935.82</v>
      </c>
      <c r="Q1135" t="s">
        <v>2347</v>
      </c>
      <c r="R1135" t="str">
        <f t="shared" si="17"/>
        <v>Normal</v>
      </c>
    </row>
    <row r="1136" spans="1:18" x14ac:dyDescent="0.3">
      <c r="A1136" t="s">
        <v>1148</v>
      </c>
      <c r="B1136" s="3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  <c r="P1136">
        <f>Table1_2[[#This Row],[Quantity]]*Table1_2[[#This Row],[UnitPrice]]</f>
        <v>153.12</v>
      </c>
      <c r="Q1136" t="s">
        <v>2348</v>
      </c>
      <c r="R1136" t="str">
        <f t="shared" si="17"/>
        <v>Normal</v>
      </c>
    </row>
    <row r="1137" spans="1:18" x14ac:dyDescent="0.3">
      <c r="A1137" t="s">
        <v>1149</v>
      </c>
      <c r="B1137" s="3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  <c r="P1137">
        <f>Table1_2[[#This Row],[Quantity]]*Table1_2[[#This Row],[UnitPrice]]</f>
        <v>146.82</v>
      </c>
      <c r="Q1137" t="s">
        <v>2349</v>
      </c>
      <c r="R1137" t="str">
        <f t="shared" si="17"/>
        <v>Normal</v>
      </c>
    </row>
    <row r="1138" spans="1:18" x14ac:dyDescent="0.3">
      <c r="A1138" t="s">
        <v>1150</v>
      </c>
      <c r="B1138" s="3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  <c r="P1138">
        <f>Table1_2[[#This Row],[Quantity]]*Table1_2[[#This Row],[UnitPrice]]</f>
        <v>2004.9900000000002</v>
      </c>
      <c r="Q1138" t="s">
        <v>2350</v>
      </c>
      <c r="R1138" t="str">
        <f t="shared" si="17"/>
        <v>Normal</v>
      </c>
    </row>
    <row r="1139" spans="1:18" x14ac:dyDescent="0.3">
      <c r="A1139" t="s">
        <v>1151</v>
      </c>
      <c r="B1139" s="3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  <c r="P1139">
        <f>Table1_2[[#This Row],[Quantity]]*Table1_2[[#This Row],[UnitPrice]]</f>
        <v>1640.84</v>
      </c>
      <c r="Q1139" t="s">
        <v>2351</v>
      </c>
      <c r="R1139" t="str">
        <f t="shared" si="17"/>
        <v>Normal</v>
      </c>
    </row>
    <row r="1140" spans="1:18" x14ac:dyDescent="0.3">
      <c r="A1140" t="s">
        <v>1152</v>
      </c>
      <c r="B1140" s="3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4303</v>
      </c>
      <c r="M1140" t="s">
        <v>4278</v>
      </c>
      <c r="N1140">
        <v>1177.6400000000001</v>
      </c>
      <c r="P1140">
        <f>Table1_2[[#This Row],[Quantity]]*Table1_2[[#This Row],[UnitPrice]]</f>
        <v>1177.6400000000001</v>
      </c>
      <c r="Q1140" t="s">
        <v>2352</v>
      </c>
      <c r="R1140" t="str">
        <f t="shared" si="17"/>
        <v>Normal</v>
      </c>
    </row>
    <row r="1141" spans="1:18" x14ac:dyDescent="0.3">
      <c r="A1141" t="s">
        <v>1153</v>
      </c>
      <c r="B1141" s="3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  <c r="P1141">
        <f>Table1_2[[#This Row],[Quantity]]*Table1_2[[#This Row],[UnitPrice]]</f>
        <v>1505.46</v>
      </c>
      <c r="Q1141" t="s">
        <v>2353</v>
      </c>
      <c r="R1141" t="str">
        <f t="shared" si="17"/>
        <v>Normal</v>
      </c>
    </row>
    <row r="1142" spans="1:18" x14ac:dyDescent="0.3">
      <c r="A1142" t="s">
        <v>1154</v>
      </c>
      <c r="B1142" s="3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4303</v>
      </c>
      <c r="M1142" t="s">
        <v>4279</v>
      </c>
      <c r="N1142">
        <v>1105.6600000000001</v>
      </c>
      <c r="P1142">
        <f>Table1_2[[#This Row],[Quantity]]*Table1_2[[#This Row],[UnitPrice]]</f>
        <v>1105.6600000000001</v>
      </c>
      <c r="Q1142" t="s">
        <v>2354</v>
      </c>
      <c r="R1142" t="str">
        <f t="shared" si="17"/>
        <v>Normal</v>
      </c>
    </row>
    <row r="1143" spans="1:18" x14ac:dyDescent="0.3">
      <c r="A1143" t="s">
        <v>1155</v>
      </c>
      <c r="B1143" s="3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4303</v>
      </c>
      <c r="M1143" t="s">
        <v>4280</v>
      </c>
      <c r="N1143">
        <v>1495.98</v>
      </c>
      <c r="P1143">
        <f>Table1_2[[#This Row],[Quantity]]*Table1_2[[#This Row],[UnitPrice]]</f>
        <v>1495.98</v>
      </c>
      <c r="Q1143" t="s">
        <v>2355</v>
      </c>
      <c r="R1143" t="str">
        <f t="shared" si="17"/>
        <v>Normal</v>
      </c>
    </row>
    <row r="1144" spans="1:18" x14ac:dyDescent="0.3">
      <c r="A1144" t="s">
        <v>1156</v>
      </c>
      <c r="B1144" s="3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4303</v>
      </c>
      <c r="M1144" t="s">
        <v>4280</v>
      </c>
      <c r="N1144">
        <v>2780.4</v>
      </c>
      <c r="P1144">
        <f>Table1_2[[#This Row],[Quantity]]*Table1_2[[#This Row],[UnitPrice]]</f>
        <v>2780.4</v>
      </c>
      <c r="Q1144" t="s">
        <v>2356</v>
      </c>
      <c r="R1144" t="str">
        <f t="shared" si="17"/>
        <v>Outlier</v>
      </c>
    </row>
    <row r="1145" spans="1:18" x14ac:dyDescent="0.3">
      <c r="A1145" t="s">
        <v>1157</v>
      </c>
      <c r="B1145" s="3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4303</v>
      </c>
      <c r="M1145" t="s">
        <v>4280</v>
      </c>
      <c r="N1145">
        <v>381.61</v>
      </c>
      <c r="P1145">
        <f>Table1_2[[#This Row],[Quantity]]*Table1_2[[#This Row],[UnitPrice]]</f>
        <v>381.61</v>
      </c>
      <c r="Q1145" t="s">
        <v>2357</v>
      </c>
      <c r="R1145" t="str">
        <f t="shared" si="17"/>
        <v>Normal</v>
      </c>
    </row>
    <row r="1146" spans="1:18" x14ac:dyDescent="0.3">
      <c r="A1146" t="s">
        <v>1158</v>
      </c>
      <c r="B1146" s="3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4303</v>
      </c>
      <c r="M1146" t="s">
        <v>4281</v>
      </c>
      <c r="N1146">
        <v>2539.6999999999998</v>
      </c>
      <c r="P1146">
        <f>Table1_2[[#This Row],[Quantity]]*Table1_2[[#This Row],[UnitPrice]]</f>
        <v>2539.6999999999998</v>
      </c>
      <c r="Q1146" t="s">
        <v>2358</v>
      </c>
      <c r="R1146" t="str">
        <f t="shared" si="17"/>
        <v>Outlier</v>
      </c>
    </row>
    <row r="1147" spans="1:18" x14ac:dyDescent="0.3">
      <c r="A1147" t="s">
        <v>1159</v>
      </c>
      <c r="B1147" s="3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  <c r="P1147">
        <f>Table1_2[[#This Row],[Quantity]]*Table1_2[[#This Row],[UnitPrice]]</f>
        <v>1714.59</v>
      </c>
      <c r="Q1147" t="s">
        <v>2359</v>
      </c>
      <c r="R1147" t="str">
        <f t="shared" si="17"/>
        <v>Normal</v>
      </c>
    </row>
    <row r="1148" spans="1:18" x14ac:dyDescent="0.3">
      <c r="A1148" t="s">
        <v>1160</v>
      </c>
      <c r="B1148" s="3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  <c r="P1148">
        <f>Table1_2[[#This Row],[Quantity]]*Table1_2[[#This Row],[UnitPrice]]</f>
        <v>2107.1999999999998</v>
      </c>
      <c r="Q1148" t="s">
        <v>2360</v>
      </c>
      <c r="R1148" t="str">
        <f t="shared" si="17"/>
        <v>Normal</v>
      </c>
    </row>
    <row r="1149" spans="1:18" x14ac:dyDescent="0.3">
      <c r="A1149" t="s">
        <v>1161</v>
      </c>
      <c r="B1149" s="3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  <c r="P1149">
        <f>Table1_2[[#This Row],[Quantity]]*Table1_2[[#This Row],[UnitPrice]]</f>
        <v>1176.5999999999999</v>
      </c>
      <c r="Q1149" t="s">
        <v>2361</v>
      </c>
      <c r="R1149" t="str">
        <f t="shared" si="17"/>
        <v>Normal</v>
      </c>
    </row>
    <row r="1150" spans="1:18" x14ac:dyDescent="0.3">
      <c r="A1150" t="s">
        <v>1162</v>
      </c>
      <c r="B1150" s="3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  <c r="P1150">
        <f>Table1_2[[#This Row],[Quantity]]*Table1_2[[#This Row],[UnitPrice]]</f>
        <v>355.15</v>
      </c>
      <c r="Q1150" t="s">
        <v>2362</v>
      </c>
      <c r="R1150" t="str">
        <f t="shared" si="17"/>
        <v>Normal</v>
      </c>
    </row>
    <row r="1151" spans="1:18" x14ac:dyDescent="0.3">
      <c r="A1151" t="s">
        <v>1163</v>
      </c>
      <c r="B1151" s="3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  <c r="P1151">
        <f>Table1_2[[#This Row],[Quantity]]*Table1_2[[#This Row],[UnitPrice]]</f>
        <v>1390.58</v>
      </c>
      <c r="Q1151" t="s">
        <v>2363</v>
      </c>
      <c r="R1151" t="str">
        <f t="shared" si="17"/>
        <v>Normal</v>
      </c>
    </row>
    <row r="1152" spans="1:18" x14ac:dyDescent="0.3">
      <c r="A1152" t="s">
        <v>1164</v>
      </c>
      <c r="B1152" s="3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  <c r="P1152">
        <f>Table1_2[[#This Row],[Quantity]]*Table1_2[[#This Row],[UnitPrice]]</f>
        <v>1210.5999999999999</v>
      </c>
      <c r="Q1152" t="s">
        <v>2364</v>
      </c>
      <c r="R1152" t="str">
        <f t="shared" si="17"/>
        <v>Normal</v>
      </c>
    </row>
    <row r="1153" spans="1:18" x14ac:dyDescent="0.3">
      <c r="A1153" t="s">
        <v>1165</v>
      </c>
      <c r="B1153" s="3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4303</v>
      </c>
      <c r="M1153" t="s">
        <v>4282</v>
      </c>
      <c r="N1153">
        <v>1216.08</v>
      </c>
      <c r="P1153">
        <f>Table1_2[[#This Row],[Quantity]]*Table1_2[[#This Row],[UnitPrice]]</f>
        <v>1216.08</v>
      </c>
      <c r="Q1153" t="s">
        <v>2365</v>
      </c>
      <c r="R1153" t="str">
        <f t="shared" si="17"/>
        <v>Normal</v>
      </c>
    </row>
    <row r="1154" spans="1:18" x14ac:dyDescent="0.3">
      <c r="A1154" t="s">
        <v>1166</v>
      </c>
      <c r="B1154" s="3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4303</v>
      </c>
      <c r="M1154" t="s">
        <v>4279</v>
      </c>
      <c r="N1154">
        <v>688.36</v>
      </c>
      <c r="P1154">
        <f>Table1_2[[#This Row],[Quantity]]*Table1_2[[#This Row],[UnitPrice]]</f>
        <v>688.36</v>
      </c>
      <c r="Q1154" t="s">
        <v>2366</v>
      </c>
      <c r="R1154" t="str">
        <f t="shared" si="17"/>
        <v>Normal</v>
      </c>
    </row>
    <row r="1155" spans="1:18" x14ac:dyDescent="0.3">
      <c r="A1155" t="s">
        <v>1167</v>
      </c>
      <c r="B1155" s="3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4303</v>
      </c>
      <c r="M1155" t="s">
        <v>4278</v>
      </c>
      <c r="N1155">
        <v>2786.84</v>
      </c>
      <c r="P1155">
        <f>Table1_2[[#This Row],[Quantity]]*Table1_2[[#This Row],[UnitPrice]]</f>
        <v>2786.84</v>
      </c>
      <c r="Q1155" t="s">
        <v>2367</v>
      </c>
      <c r="R1155" t="str">
        <f t="shared" ref="R1155:R1201" si="18">IF(OR(N1155&lt;$S$2-1.5*($T$2-$S$2),N1155&gt;$S$2+1.5*($T$2-$S$2)), "Outlier", "Normal")</f>
        <v>Outlier</v>
      </c>
    </row>
    <row r="1156" spans="1:18" x14ac:dyDescent="0.3">
      <c r="A1156" t="s">
        <v>1168</v>
      </c>
      <c r="B1156" s="3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  <c r="P1156">
        <f>Table1_2[[#This Row],[Quantity]]*Table1_2[[#This Row],[UnitPrice]]</f>
        <v>595.89</v>
      </c>
      <c r="Q1156" t="s">
        <v>2368</v>
      </c>
      <c r="R1156" t="str">
        <f t="shared" si="18"/>
        <v>Normal</v>
      </c>
    </row>
    <row r="1157" spans="1:18" x14ac:dyDescent="0.3">
      <c r="A1157" t="s">
        <v>1169</v>
      </c>
      <c r="B1157" s="3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  <c r="P1157">
        <f>Table1_2[[#This Row],[Quantity]]*Table1_2[[#This Row],[UnitPrice]]</f>
        <v>2138.2800000000002</v>
      </c>
      <c r="Q1157" t="s">
        <v>2369</v>
      </c>
      <c r="R1157" t="str">
        <f t="shared" si="18"/>
        <v>Normal</v>
      </c>
    </row>
    <row r="1158" spans="1:18" x14ac:dyDescent="0.3">
      <c r="A1158" t="s">
        <v>1170</v>
      </c>
      <c r="B1158" s="3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4303</v>
      </c>
      <c r="M1158" t="s">
        <v>4279</v>
      </c>
      <c r="N1158">
        <v>2763.12</v>
      </c>
      <c r="P1158">
        <f>Table1_2[[#This Row],[Quantity]]*Table1_2[[#This Row],[UnitPrice]]</f>
        <v>2763.12</v>
      </c>
      <c r="Q1158" t="s">
        <v>2370</v>
      </c>
      <c r="R1158" t="str">
        <f t="shared" si="18"/>
        <v>Outlier</v>
      </c>
    </row>
    <row r="1159" spans="1:18" x14ac:dyDescent="0.3">
      <c r="A1159" t="s">
        <v>1171</v>
      </c>
      <c r="B1159" s="3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  <c r="P1159">
        <f>Table1_2[[#This Row],[Quantity]]*Table1_2[[#This Row],[UnitPrice]]</f>
        <v>904.65000000000009</v>
      </c>
      <c r="Q1159" t="s">
        <v>2371</v>
      </c>
      <c r="R1159" t="str">
        <f t="shared" si="18"/>
        <v>Normal</v>
      </c>
    </row>
    <row r="1160" spans="1:18" x14ac:dyDescent="0.3">
      <c r="A1160" t="s">
        <v>1172</v>
      </c>
      <c r="B1160" s="3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  <c r="P1160">
        <f>Table1_2[[#This Row],[Quantity]]*Table1_2[[#This Row],[UnitPrice]]</f>
        <v>109.68</v>
      </c>
      <c r="Q1160" t="s">
        <v>2372</v>
      </c>
      <c r="R1160" t="str">
        <f t="shared" si="18"/>
        <v>Normal</v>
      </c>
    </row>
    <row r="1161" spans="1:18" x14ac:dyDescent="0.3">
      <c r="A1161" t="s">
        <v>1173</v>
      </c>
      <c r="B1161" s="3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4303</v>
      </c>
      <c r="M1161" t="s">
        <v>4278</v>
      </c>
      <c r="N1161">
        <v>1866.8</v>
      </c>
      <c r="P1161">
        <f>Table1_2[[#This Row],[Quantity]]*Table1_2[[#This Row],[UnitPrice]]</f>
        <v>1866.8</v>
      </c>
      <c r="Q1161" t="s">
        <v>2373</v>
      </c>
      <c r="R1161" t="str">
        <f t="shared" si="18"/>
        <v>Normal</v>
      </c>
    </row>
    <row r="1162" spans="1:18" x14ac:dyDescent="0.3">
      <c r="A1162" t="s">
        <v>1174</v>
      </c>
      <c r="B1162" s="3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  <c r="P1162">
        <f>Table1_2[[#This Row],[Quantity]]*Table1_2[[#This Row],[UnitPrice]]</f>
        <v>541.64</v>
      </c>
      <c r="Q1162" t="s">
        <v>2374</v>
      </c>
      <c r="R1162" t="str">
        <f t="shared" si="18"/>
        <v>Normal</v>
      </c>
    </row>
    <row r="1163" spans="1:18" x14ac:dyDescent="0.3">
      <c r="A1163" t="s">
        <v>1175</v>
      </c>
      <c r="B1163" s="3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  <c r="P1163">
        <f>Table1_2[[#This Row],[Quantity]]*Table1_2[[#This Row],[UnitPrice]]</f>
        <v>11.39</v>
      </c>
      <c r="Q1163" t="s">
        <v>2375</v>
      </c>
      <c r="R1163" t="str">
        <f t="shared" si="18"/>
        <v>Normal</v>
      </c>
    </row>
    <row r="1164" spans="1:18" x14ac:dyDescent="0.3">
      <c r="A1164" t="s">
        <v>1176</v>
      </c>
      <c r="B1164" s="3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  <c r="P1164">
        <f>Table1_2[[#This Row],[Quantity]]*Table1_2[[#This Row],[UnitPrice]]</f>
        <v>448.74</v>
      </c>
      <c r="Q1164" t="s">
        <v>2376</v>
      </c>
      <c r="R1164" t="str">
        <f t="shared" si="18"/>
        <v>Normal</v>
      </c>
    </row>
    <row r="1165" spans="1:18" x14ac:dyDescent="0.3">
      <c r="A1165" t="s">
        <v>1177</v>
      </c>
      <c r="B1165" s="3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  <c r="P1165">
        <f>Table1_2[[#This Row],[Quantity]]*Table1_2[[#This Row],[UnitPrice]]</f>
        <v>918.87000000000012</v>
      </c>
      <c r="Q1165" t="s">
        <v>2377</v>
      </c>
      <c r="R1165" t="str">
        <f t="shared" si="18"/>
        <v>Normal</v>
      </c>
    </row>
    <row r="1166" spans="1:18" x14ac:dyDescent="0.3">
      <c r="A1166" t="s">
        <v>1178</v>
      </c>
      <c r="B1166" s="3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  <c r="P1166">
        <f>Table1_2[[#This Row],[Quantity]]*Table1_2[[#This Row],[UnitPrice]]</f>
        <v>1577.85</v>
      </c>
      <c r="Q1166" t="s">
        <v>2378</v>
      </c>
      <c r="R1166" t="str">
        <f t="shared" si="18"/>
        <v>Normal</v>
      </c>
    </row>
    <row r="1167" spans="1:18" x14ac:dyDescent="0.3">
      <c r="A1167" t="s">
        <v>1179</v>
      </c>
      <c r="B1167" s="3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4303</v>
      </c>
      <c r="M1167" t="s">
        <v>4282</v>
      </c>
      <c r="N1167">
        <v>671.37</v>
      </c>
      <c r="P1167">
        <f>Table1_2[[#This Row],[Quantity]]*Table1_2[[#This Row],[UnitPrice]]</f>
        <v>671.37</v>
      </c>
      <c r="Q1167" t="s">
        <v>2379</v>
      </c>
      <c r="R1167" t="str">
        <f t="shared" si="18"/>
        <v>Normal</v>
      </c>
    </row>
    <row r="1168" spans="1:18" x14ac:dyDescent="0.3">
      <c r="A1168" t="s">
        <v>1180</v>
      </c>
      <c r="B1168" s="3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  <c r="P1168">
        <f>Table1_2[[#This Row],[Quantity]]*Table1_2[[#This Row],[UnitPrice]]</f>
        <v>973.41000000000008</v>
      </c>
      <c r="Q1168" t="s">
        <v>2380</v>
      </c>
      <c r="R1168" t="str">
        <f t="shared" si="18"/>
        <v>Normal</v>
      </c>
    </row>
    <row r="1169" spans="1:18" x14ac:dyDescent="0.3">
      <c r="A1169" t="s">
        <v>1181</v>
      </c>
      <c r="B1169" s="3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  <c r="P1169">
        <f>Table1_2[[#This Row],[Quantity]]*Table1_2[[#This Row],[UnitPrice]]</f>
        <v>185.74</v>
      </c>
      <c r="Q1169" t="s">
        <v>2381</v>
      </c>
      <c r="R1169" t="str">
        <f t="shared" si="18"/>
        <v>Normal</v>
      </c>
    </row>
    <row r="1170" spans="1:18" x14ac:dyDescent="0.3">
      <c r="A1170" t="s">
        <v>1182</v>
      </c>
      <c r="B1170" s="3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  <c r="P1170">
        <f>Table1_2[[#This Row],[Quantity]]*Table1_2[[#This Row],[UnitPrice]]</f>
        <v>662.84</v>
      </c>
      <c r="Q1170" t="s">
        <v>2382</v>
      </c>
      <c r="R1170" t="str">
        <f t="shared" si="18"/>
        <v>Normal</v>
      </c>
    </row>
    <row r="1171" spans="1:18" x14ac:dyDescent="0.3">
      <c r="A1171" t="s">
        <v>1183</v>
      </c>
      <c r="B1171" s="3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  <c r="P1171">
        <f>Table1_2[[#This Row],[Quantity]]*Table1_2[[#This Row],[UnitPrice]]</f>
        <v>525.42999999999995</v>
      </c>
      <c r="Q1171" t="s">
        <v>2383</v>
      </c>
      <c r="R1171" t="str">
        <f t="shared" si="18"/>
        <v>Normal</v>
      </c>
    </row>
    <row r="1172" spans="1:18" x14ac:dyDescent="0.3">
      <c r="A1172" t="s">
        <v>1184</v>
      </c>
      <c r="B1172" s="3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  <c r="P1172">
        <f>Table1_2[[#This Row],[Quantity]]*Table1_2[[#This Row],[UnitPrice]]</f>
        <v>1394.38</v>
      </c>
      <c r="Q1172" t="s">
        <v>2384</v>
      </c>
      <c r="R1172" t="str">
        <f t="shared" si="18"/>
        <v>Normal</v>
      </c>
    </row>
    <row r="1173" spans="1:18" x14ac:dyDescent="0.3">
      <c r="A1173" t="s">
        <v>1185</v>
      </c>
      <c r="B1173" s="3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  <c r="P1173">
        <f>Table1_2[[#This Row],[Quantity]]*Table1_2[[#This Row],[UnitPrice]]</f>
        <v>2073.6</v>
      </c>
      <c r="Q1173" t="s">
        <v>2385</v>
      </c>
      <c r="R1173" t="str">
        <f t="shared" si="18"/>
        <v>Normal</v>
      </c>
    </row>
    <row r="1174" spans="1:18" x14ac:dyDescent="0.3">
      <c r="A1174" t="s">
        <v>1186</v>
      </c>
      <c r="B1174" s="3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4303</v>
      </c>
      <c r="M1174" t="s">
        <v>4278</v>
      </c>
      <c r="N1174">
        <v>395.88</v>
      </c>
      <c r="P1174">
        <f>Table1_2[[#This Row],[Quantity]]*Table1_2[[#This Row],[UnitPrice]]</f>
        <v>395.88</v>
      </c>
      <c r="Q1174" t="s">
        <v>2386</v>
      </c>
      <c r="R1174" t="str">
        <f t="shared" si="18"/>
        <v>Normal</v>
      </c>
    </row>
    <row r="1175" spans="1:18" x14ac:dyDescent="0.3">
      <c r="A1175" t="s">
        <v>1187</v>
      </c>
      <c r="B1175" s="3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  <c r="P1175">
        <f>Table1_2[[#This Row],[Quantity]]*Table1_2[[#This Row],[UnitPrice]]</f>
        <v>208.36</v>
      </c>
      <c r="Q1175" t="s">
        <v>2387</v>
      </c>
      <c r="R1175" t="str">
        <f t="shared" si="18"/>
        <v>Normal</v>
      </c>
    </row>
    <row r="1176" spans="1:18" x14ac:dyDescent="0.3">
      <c r="A1176" t="s">
        <v>1188</v>
      </c>
      <c r="B1176" s="3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  <c r="P1176">
        <f>Table1_2[[#This Row],[Quantity]]*Table1_2[[#This Row],[UnitPrice]]</f>
        <v>667.02</v>
      </c>
      <c r="Q1176" t="s">
        <v>2388</v>
      </c>
      <c r="R1176" t="str">
        <f t="shared" si="18"/>
        <v>Normal</v>
      </c>
    </row>
    <row r="1177" spans="1:18" x14ac:dyDescent="0.3">
      <c r="A1177" t="s">
        <v>1189</v>
      </c>
      <c r="B1177" s="3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  <c r="P1177">
        <f>Table1_2[[#This Row],[Quantity]]*Table1_2[[#This Row],[UnitPrice]]</f>
        <v>275.21999999999997</v>
      </c>
      <c r="Q1177" t="s">
        <v>2389</v>
      </c>
      <c r="R1177" t="str">
        <f t="shared" si="18"/>
        <v>Normal</v>
      </c>
    </row>
    <row r="1178" spans="1:18" x14ac:dyDescent="0.3">
      <c r="A1178" t="s">
        <v>1190</v>
      </c>
      <c r="B1178" s="3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  <c r="P1178">
        <f>Table1_2[[#This Row],[Quantity]]*Table1_2[[#This Row],[UnitPrice]]</f>
        <v>427.66</v>
      </c>
      <c r="Q1178" t="s">
        <v>2390</v>
      </c>
      <c r="R1178" t="str">
        <f t="shared" si="18"/>
        <v>Normal</v>
      </c>
    </row>
    <row r="1179" spans="1:18" x14ac:dyDescent="0.3">
      <c r="A1179" t="s">
        <v>1191</v>
      </c>
      <c r="B1179" s="3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  <c r="P1179">
        <f>Table1_2[[#This Row],[Quantity]]*Table1_2[[#This Row],[UnitPrice]]</f>
        <v>127.55</v>
      </c>
      <c r="Q1179" t="s">
        <v>2391</v>
      </c>
      <c r="R1179" t="str">
        <f t="shared" si="18"/>
        <v>Normal</v>
      </c>
    </row>
    <row r="1180" spans="1:18" x14ac:dyDescent="0.3">
      <c r="A1180" t="s">
        <v>1192</v>
      </c>
      <c r="B1180" s="3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  <c r="P1180">
        <f>Table1_2[[#This Row],[Quantity]]*Table1_2[[#This Row],[UnitPrice]]</f>
        <v>70.239999999999995</v>
      </c>
      <c r="Q1180" t="s">
        <v>2392</v>
      </c>
      <c r="R1180" t="str">
        <f t="shared" si="18"/>
        <v>Normal</v>
      </c>
    </row>
    <row r="1181" spans="1:18" x14ac:dyDescent="0.3">
      <c r="A1181" t="s">
        <v>1193</v>
      </c>
      <c r="B1181" s="3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  <c r="P1181">
        <f>Table1_2[[#This Row],[Quantity]]*Table1_2[[#This Row],[UnitPrice]]</f>
        <v>2592.75</v>
      </c>
      <c r="Q1181" t="s">
        <v>2393</v>
      </c>
      <c r="R1181" t="str">
        <f t="shared" si="18"/>
        <v>Outlier</v>
      </c>
    </row>
    <row r="1182" spans="1:18" x14ac:dyDescent="0.3">
      <c r="A1182" t="s">
        <v>1194</v>
      </c>
      <c r="B1182" s="3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  <c r="P1182">
        <f>Table1_2[[#This Row],[Quantity]]*Table1_2[[#This Row],[UnitPrice]]</f>
        <v>1193.44</v>
      </c>
      <c r="Q1182" t="s">
        <v>2394</v>
      </c>
      <c r="R1182" t="str">
        <f t="shared" si="18"/>
        <v>Normal</v>
      </c>
    </row>
    <row r="1183" spans="1:18" x14ac:dyDescent="0.3">
      <c r="A1183" t="s">
        <v>1195</v>
      </c>
      <c r="B1183" s="3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  <c r="P1183">
        <f>Table1_2[[#This Row],[Quantity]]*Table1_2[[#This Row],[UnitPrice]]</f>
        <v>476.22</v>
      </c>
      <c r="Q1183" t="s">
        <v>2395</v>
      </c>
      <c r="R1183" t="str">
        <f t="shared" si="18"/>
        <v>Normal</v>
      </c>
    </row>
    <row r="1184" spans="1:18" x14ac:dyDescent="0.3">
      <c r="A1184" t="s">
        <v>1196</v>
      </c>
      <c r="B1184" s="3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  <c r="P1184">
        <f>Table1_2[[#This Row],[Quantity]]*Table1_2[[#This Row],[UnitPrice]]</f>
        <v>840.58</v>
      </c>
      <c r="Q1184" t="s">
        <v>2396</v>
      </c>
      <c r="R1184" t="str">
        <f t="shared" si="18"/>
        <v>Normal</v>
      </c>
    </row>
    <row r="1185" spans="1:18" x14ac:dyDescent="0.3">
      <c r="A1185" t="s">
        <v>1197</v>
      </c>
      <c r="B1185" s="3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  <c r="P1185">
        <f>Table1_2[[#This Row],[Quantity]]*Table1_2[[#This Row],[UnitPrice]]</f>
        <v>281.52</v>
      </c>
      <c r="Q1185" t="s">
        <v>2397</v>
      </c>
      <c r="R1185" t="str">
        <f t="shared" si="18"/>
        <v>Normal</v>
      </c>
    </row>
    <row r="1186" spans="1:18" x14ac:dyDescent="0.3">
      <c r="A1186" t="s">
        <v>1198</v>
      </c>
      <c r="B1186" s="3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4303</v>
      </c>
      <c r="M1186" t="s">
        <v>4282</v>
      </c>
      <c r="N1186">
        <v>204.08</v>
      </c>
      <c r="P1186">
        <f>Table1_2[[#This Row],[Quantity]]*Table1_2[[#This Row],[UnitPrice]]</f>
        <v>204.08</v>
      </c>
      <c r="Q1186" t="s">
        <v>2398</v>
      </c>
      <c r="R1186" t="str">
        <f t="shared" si="18"/>
        <v>Normal</v>
      </c>
    </row>
    <row r="1187" spans="1:18" x14ac:dyDescent="0.3">
      <c r="A1187" t="s">
        <v>1199</v>
      </c>
      <c r="B1187" s="3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  <c r="P1187">
        <f>Table1_2[[#This Row],[Quantity]]*Table1_2[[#This Row],[UnitPrice]]</f>
        <v>343.31</v>
      </c>
      <c r="Q1187" t="s">
        <v>2399</v>
      </c>
      <c r="R1187" t="str">
        <f t="shared" si="18"/>
        <v>Normal</v>
      </c>
    </row>
    <row r="1188" spans="1:18" x14ac:dyDescent="0.3">
      <c r="A1188" t="s">
        <v>1200</v>
      </c>
      <c r="B1188" s="3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  <c r="P1188">
        <f>Table1_2[[#This Row],[Quantity]]*Table1_2[[#This Row],[UnitPrice]]</f>
        <v>163.32</v>
      </c>
      <c r="Q1188" t="s">
        <v>2400</v>
      </c>
      <c r="R1188" t="str">
        <f t="shared" si="18"/>
        <v>Normal</v>
      </c>
    </row>
    <row r="1189" spans="1:18" x14ac:dyDescent="0.3">
      <c r="A1189" t="s">
        <v>1201</v>
      </c>
      <c r="B1189" s="3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  <c r="P1189">
        <f>Table1_2[[#This Row],[Quantity]]*Table1_2[[#This Row],[UnitPrice]]</f>
        <v>369.2</v>
      </c>
      <c r="Q1189" t="s">
        <v>2401</v>
      </c>
      <c r="R1189" t="str">
        <f t="shared" si="18"/>
        <v>Normal</v>
      </c>
    </row>
    <row r="1190" spans="1:18" x14ac:dyDescent="0.3">
      <c r="A1190" t="s">
        <v>1202</v>
      </c>
      <c r="B1190" s="3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  <c r="P1190">
        <f>Table1_2[[#This Row],[Quantity]]*Table1_2[[#This Row],[UnitPrice]]</f>
        <v>742.58</v>
      </c>
      <c r="Q1190" t="s">
        <v>2402</v>
      </c>
      <c r="R1190" t="str">
        <f t="shared" si="18"/>
        <v>Normal</v>
      </c>
    </row>
    <row r="1191" spans="1:18" x14ac:dyDescent="0.3">
      <c r="A1191" t="s">
        <v>1203</v>
      </c>
      <c r="B1191" s="3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4303</v>
      </c>
      <c r="M1191" t="s">
        <v>4279</v>
      </c>
      <c r="N1191">
        <v>1946.1</v>
      </c>
      <c r="P1191">
        <f>Table1_2[[#This Row],[Quantity]]*Table1_2[[#This Row],[UnitPrice]]</f>
        <v>1946.1000000000001</v>
      </c>
      <c r="R1191" t="str">
        <f t="shared" si="18"/>
        <v>Normal</v>
      </c>
    </row>
    <row r="1192" spans="1:18" x14ac:dyDescent="0.3">
      <c r="A1192" t="s">
        <v>1204</v>
      </c>
      <c r="B1192" s="3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  <c r="P1192">
        <f>Table1_2[[#This Row],[Quantity]]*Table1_2[[#This Row],[UnitPrice]]</f>
        <v>1849.17</v>
      </c>
      <c r="R1192" t="str">
        <f t="shared" si="18"/>
        <v>Normal</v>
      </c>
    </row>
    <row r="1193" spans="1:18" x14ac:dyDescent="0.3">
      <c r="A1193" t="s">
        <v>1205</v>
      </c>
      <c r="B1193" s="3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  <c r="P1193">
        <f>Table1_2[[#This Row],[Quantity]]*Table1_2[[#This Row],[UnitPrice]]</f>
        <v>1505.72</v>
      </c>
      <c r="R1193" t="str">
        <f t="shared" si="18"/>
        <v>Normal</v>
      </c>
    </row>
    <row r="1194" spans="1:18" x14ac:dyDescent="0.3">
      <c r="A1194" t="s">
        <v>1206</v>
      </c>
      <c r="B1194" s="3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4303</v>
      </c>
      <c r="M1194" t="s">
        <v>4278</v>
      </c>
      <c r="N1194">
        <v>1298.55</v>
      </c>
      <c r="P1194">
        <f>Table1_2[[#This Row],[Quantity]]*Table1_2[[#This Row],[UnitPrice]]</f>
        <v>1298.5500000000002</v>
      </c>
      <c r="R1194" t="str">
        <f t="shared" si="18"/>
        <v>Normal</v>
      </c>
    </row>
    <row r="1195" spans="1:18" x14ac:dyDescent="0.3">
      <c r="A1195" t="s">
        <v>1207</v>
      </c>
      <c r="B1195" s="3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  <c r="P1195">
        <f>Table1_2[[#This Row],[Quantity]]*Table1_2[[#This Row],[UnitPrice]]</f>
        <v>687.89</v>
      </c>
      <c r="R1195" t="str">
        <f t="shared" si="18"/>
        <v>Normal</v>
      </c>
    </row>
    <row r="1196" spans="1:18" x14ac:dyDescent="0.3">
      <c r="A1196" t="s">
        <v>1208</v>
      </c>
      <c r="B1196" s="3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  <c r="P1196">
        <f>Table1_2[[#This Row],[Quantity]]*Table1_2[[#This Row],[UnitPrice]]</f>
        <v>568.31999999999994</v>
      </c>
      <c r="R1196" t="str">
        <f t="shared" si="18"/>
        <v>Normal</v>
      </c>
    </row>
    <row r="1197" spans="1:18" x14ac:dyDescent="0.3">
      <c r="A1197" t="s">
        <v>1209</v>
      </c>
      <c r="B1197" s="3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  <c r="P1197">
        <f>Table1_2[[#This Row],[Quantity]]*Table1_2[[#This Row],[UnitPrice]]</f>
        <v>107.04</v>
      </c>
      <c r="R1197" t="str">
        <f t="shared" si="18"/>
        <v>Normal</v>
      </c>
    </row>
    <row r="1198" spans="1:18" x14ac:dyDescent="0.3">
      <c r="A1198" t="s">
        <v>1210</v>
      </c>
      <c r="B1198" s="3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4303</v>
      </c>
      <c r="M1198" t="s">
        <v>4281</v>
      </c>
      <c r="N1198">
        <v>1325.06</v>
      </c>
      <c r="P1198">
        <f>Table1_2[[#This Row],[Quantity]]*Table1_2[[#This Row],[UnitPrice]]</f>
        <v>1325.06</v>
      </c>
      <c r="R1198" t="str">
        <f t="shared" si="18"/>
        <v>Normal</v>
      </c>
    </row>
    <row r="1199" spans="1:18" x14ac:dyDescent="0.3">
      <c r="A1199" t="s">
        <v>1211</v>
      </c>
      <c r="B1199" s="3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  <c r="P1199">
        <f>Table1_2[[#This Row],[Quantity]]*Table1_2[[#This Row],[UnitPrice]]</f>
        <v>873.68</v>
      </c>
      <c r="R1199" t="str">
        <f t="shared" si="18"/>
        <v>Normal</v>
      </c>
    </row>
    <row r="1200" spans="1:18" x14ac:dyDescent="0.3">
      <c r="A1200" t="s">
        <v>1212</v>
      </c>
      <c r="B1200" s="3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  <c r="P1200">
        <f>Table1_2[[#This Row],[Quantity]]*Table1_2[[#This Row],[UnitPrice]]</f>
        <v>1050.08</v>
      </c>
      <c r="R1200" t="str">
        <f t="shared" si="18"/>
        <v>Normal</v>
      </c>
    </row>
    <row r="1201" spans="1:18" x14ac:dyDescent="0.3">
      <c r="A1201" t="s">
        <v>1213</v>
      </c>
      <c r="B1201" s="3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  <c r="P1201">
        <f>Table1_2[[#This Row],[Quantity]]*Table1_2[[#This Row],[UnitPrice]]</f>
        <v>2242.3200000000002</v>
      </c>
      <c r="R1201" t="str">
        <f t="shared" si="18"/>
        <v>Outlier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AE6-7547-4829-B368-58EA7239C138}">
  <dimension ref="A1:ATI1347"/>
  <sheetViews>
    <sheetView tabSelected="1" topLeftCell="G1" zoomScale="90" zoomScaleNormal="90" workbookViewId="0">
      <selection activeCell="F5" sqref="F5"/>
    </sheetView>
  </sheetViews>
  <sheetFormatPr defaultRowHeight="15.6" x14ac:dyDescent="0.3"/>
  <cols>
    <col min="1" max="1" width="12.109375" style="13" bestFit="1" customWidth="1"/>
    <col min="2" max="2" width="17.6640625" style="13" bestFit="1" customWidth="1"/>
    <col min="3" max="4" width="17.33203125" style="13" bestFit="1" customWidth="1"/>
    <col min="5" max="5" width="20.109375" style="13" bestFit="1" customWidth="1"/>
    <col min="6" max="6" width="17.33203125" style="13" bestFit="1" customWidth="1"/>
    <col min="7" max="7" width="17.6640625" style="13" bestFit="1" customWidth="1"/>
    <col min="8" max="8" width="8.88671875" style="13"/>
    <col min="9" max="9" width="17.6640625" style="13" bestFit="1" customWidth="1"/>
    <col min="10" max="15" width="13.77734375" style="13" bestFit="1" customWidth="1"/>
    <col min="16" max="21" width="12.6640625" style="13" bestFit="1" customWidth="1"/>
    <col min="22" max="22" width="15.6640625" style="13" bestFit="1" customWidth="1"/>
    <col min="23" max="680" width="11.44140625" style="13" bestFit="1" customWidth="1"/>
    <col min="681" max="681" width="12.109375" style="13" bestFit="1" customWidth="1"/>
    <col min="682" max="682" width="7.77734375" style="13" bestFit="1" customWidth="1"/>
    <col min="683" max="683" width="6.6640625" style="13" bestFit="1" customWidth="1"/>
    <col min="684" max="684" width="7.77734375" style="13" bestFit="1" customWidth="1"/>
    <col min="685" max="685" width="6.6640625" style="13" bestFit="1" customWidth="1"/>
    <col min="686" max="686" width="7.77734375" style="13" bestFit="1" customWidth="1"/>
    <col min="687" max="687" width="6.6640625" style="13" bestFit="1" customWidth="1"/>
    <col min="688" max="693" width="7.77734375" style="13" bestFit="1" customWidth="1"/>
    <col min="694" max="694" width="8.88671875" style="13"/>
    <col min="695" max="696" width="7.77734375" style="13" bestFit="1" customWidth="1"/>
    <col min="697" max="701" width="8.88671875" style="13"/>
    <col min="702" max="702" width="7.77734375" style="13" bestFit="1" customWidth="1"/>
    <col min="703" max="705" width="8.88671875" style="13"/>
    <col min="706" max="706" width="7.77734375" style="13" bestFit="1" customWidth="1"/>
    <col min="707" max="709" width="8.88671875" style="13"/>
    <col min="710" max="710" width="7.77734375" style="13" bestFit="1" customWidth="1"/>
    <col min="711" max="711" width="5.5546875" style="13" bestFit="1" customWidth="1"/>
    <col min="712" max="721" width="8.88671875" style="13"/>
    <col min="722" max="722" width="7.77734375" style="13" bestFit="1" customWidth="1"/>
    <col min="723" max="726" width="8.88671875" style="13"/>
    <col min="727" max="727" width="7.77734375" style="13" bestFit="1" customWidth="1"/>
    <col min="728" max="734" width="8.88671875" style="13"/>
    <col min="735" max="735" width="5.5546875" style="13" bestFit="1" customWidth="1"/>
    <col min="736" max="736" width="8.88671875" style="13"/>
    <col min="737" max="737" width="7.77734375" style="13" bestFit="1" customWidth="1"/>
    <col min="738" max="740" width="8.88671875" style="13"/>
    <col min="741" max="741" width="5.5546875" style="13" bestFit="1" customWidth="1"/>
    <col min="742" max="746" width="8.88671875" style="13"/>
    <col min="747" max="747" width="7.77734375" style="13" bestFit="1" customWidth="1"/>
    <col min="748" max="748" width="5.5546875" style="13" bestFit="1" customWidth="1"/>
    <col min="749" max="760" width="8.88671875" style="13"/>
    <col min="761" max="762" width="7.77734375" style="13" bestFit="1" customWidth="1"/>
    <col min="763" max="764" width="8.88671875" style="13"/>
    <col min="765" max="765" width="7.77734375" style="13" bestFit="1" customWidth="1"/>
    <col min="766" max="767" width="8.88671875" style="13"/>
    <col min="768" max="768" width="7.77734375" style="13" bestFit="1" customWidth="1"/>
    <col min="769" max="769" width="8.88671875" style="13"/>
    <col min="770" max="770" width="5.5546875" style="13" bestFit="1" customWidth="1"/>
    <col min="771" max="780" width="8.88671875" style="13"/>
    <col min="781" max="781" width="7.77734375" style="13" bestFit="1" customWidth="1"/>
    <col min="782" max="782" width="8.88671875" style="13"/>
    <col min="783" max="783" width="7.77734375" style="13" bestFit="1" customWidth="1"/>
    <col min="784" max="788" width="8.88671875" style="13"/>
    <col min="789" max="789" width="7.77734375" style="13" bestFit="1" customWidth="1"/>
    <col min="790" max="794" width="8.88671875" style="13"/>
    <col min="795" max="795" width="7.77734375" style="13" bestFit="1" customWidth="1"/>
    <col min="796" max="797" width="8.88671875" style="13"/>
    <col min="798" max="798" width="7.77734375" style="13" bestFit="1" customWidth="1"/>
    <col min="799" max="811" width="8.88671875" style="13"/>
    <col min="812" max="812" width="7.77734375" style="13" bestFit="1" customWidth="1"/>
    <col min="813" max="813" width="8.88671875" style="13"/>
    <col min="814" max="814" width="7.77734375" style="13" bestFit="1" customWidth="1"/>
    <col min="815" max="817" width="8.88671875" style="13"/>
    <col min="818" max="818" width="7.77734375" style="13" bestFit="1" customWidth="1"/>
    <col min="819" max="830" width="8.88671875" style="13"/>
    <col min="831" max="831" width="7.77734375" style="13" bestFit="1" customWidth="1"/>
    <col min="832" max="832" width="8.88671875" style="13"/>
    <col min="833" max="833" width="7.77734375" style="13" bestFit="1" customWidth="1"/>
    <col min="834" max="836" width="8.88671875" style="13"/>
    <col min="837" max="838" width="7.77734375" style="13" bestFit="1" customWidth="1"/>
    <col min="839" max="839" width="8.88671875" style="13"/>
    <col min="840" max="842" width="7.77734375" style="13" bestFit="1" customWidth="1"/>
    <col min="843" max="844" width="8.88671875" style="13"/>
    <col min="845" max="846" width="7.77734375" style="13" bestFit="1" customWidth="1"/>
    <col min="847" max="849" width="8.88671875" style="13"/>
    <col min="850" max="850" width="7.77734375" style="13" bestFit="1" customWidth="1"/>
    <col min="851" max="851" width="8.88671875" style="13"/>
    <col min="852" max="852" width="7.77734375" style="13" bestFit="1" customWidth="1"/>
    <col min="853" max="859" width="8.88671875" style="13"/>
    <col min="860" max="860" width="7.77734375" style="13" bestFit="1" customWidth="1"/>
    <col min="861" max="866" width="8.88671875" style="13"/>
    <col min="867" max="867" width="5.5546875" style="13" bestFit="1" customWidth="1"/>
    <col min="868" max="870" width="8.88671875" style="13"/>
    <col min="871" max="871" width="7.77734375" style="13" bestFit="1" customWidth="1"/>
    <col min="872" max="873" width="8.88671875" style="13"/>
    <col min="874" max="874" width="7.77734375" style="13" bestFit="1" customWidth="1"/>
    <col min="875" max="884" width="8.88671875" style="13"/>
    <col min="885" max="885" width="7.77734375" style="13" bestFit="1" customWidth="1"/>
    <col min="886" max="895" width="8.88671875" style="13"/>
    <col min="896" max="898" width="7.77734375" style="13" bestFit="1" customWidth="1"/>
    <col min="899" max="902" width="8.88671875" style="13"/>
    <col min="903" max="904" width="7.77734375" style="13" bestFit="1" customWidth="1"/>
    <col min="905" max="906" width="8.88671875" style="13"/>
    <col min="907" max="907" width="5.5546875" style="13" bestFit="1" customWidth="1"/>
    <col min="908" max="920" width="8.88671875" style="13"/>
    <col min="921" max="921" width="7.77734375" style="13" bestFit="1" customWidth="1"/>
    <col min="922" max="923" width="8.88671875" style="13"/>
    <col min="924" max="924" width="7.77734375" style="13" bestFit="1" customWidth="1"/>
    <col min="925" max="930" width="8.88671875" style="13"/>
    <col min="931" max="931" width="7.77734375" style="13" bestFit="1" customWidth="1"/>
    <col min="932" max="935" width="8.88671875" style="13"/>
    <col min="936" max="936" width="7.77734375" style="13" bestFit="1" customWidth="1"/>
    <col min="937" max="939" width="8.88671875" style="13"/>
    <col min="940" max="940" width="7.77734375" style="13" bestFit="1" customWidth="1"/>
    <col min="941" max="942" width="8.88671875" style="13"/>
    <col min="943" max="943" width="7.77734375" style="13" bestFit="1" customWidth="1"/>
    <col min="944" max="944" width="8.88671875" style="13"/>
    <col min="945" max="945" width="7.77734375" style="13" bestFit="1" customWidth="1"/>
    <col min="946" max="951" width="8.88671875" style="13"/>
    <col min="952" max="952" width="7.77734375" style="13" bestFit="1" customWidth="1"/>
    <col min="953" max="955" width="8.88671875" style="13"/>
    <col min="956" max="957" width="7.77734375" style="13" bestFit="1" customWidth="1"/>
    <col min="958" max="964" width="8.88671875" style="13"/>
    <col min="965" max="965" width="7.77734375" style="13" bestFit="1" customWidth="1"/>
    <col min="966" max="968" width="8.88671875" style="13"/>
    <col min="969" max="969" width="5.5546875" style="13" bestFit="1" customWidth="1"/>
    <col min="970" max="970" width="7.77734375" style="13" bestFit="1" customWidth="1"/>
    <col min="971" max="973" width="8.88671875" style="13"/>
    <col min="974" max="974" width="7.77734375" style="13" bestFit="1" customWidth="1"/>
    <col min="975" max="975" width="8.88671875" style="13"/>
    <col min="976" max="977" width="7.77734375" style="13" bestFit="1" customWidth="1"/>
    <col min="978" max="985" width="8.88671875" style="13"/>
    <col min="986" max="986" width="7.77734375" style="13" bestFit="1" customWidth="1"/>
    <col min="987" max="987" width="8.88671875" style="13"/>
    <col min="988" max="988" width="7.77734375" style="13" bestFit="1" customWidth="1"/>
    <col min="989" max="997" width="8.88671875" style="13"/>
    <col min="998" max="999" width="7.77734375" style="13" bestFit="1" customWidth="1"/>
    <col min="1000" max="1002" width="8.88671875" style="13"/>
    <col min="1003" max="1003" width="7.77734375" style="13" bestFit="1" customWidth="1"/>
    <col min="1004" max="1005" width="8.88671875" style="13"/>
    <col min="1006" max="1007" width="7.77734375" style="13" bestFit="1" customWidth="1"/>
    <col min="1008" max="1009" width="8.88671875" style="13"/>
    <col min="1010" max="1010" width="7.77734375" style="13" bestFit="1" customWidth="1"/>
    <col min="1011" max="1017" width="8.88671875" style="13"/>
    <col min="1018" max="1018" width="5.5546875" style="13" bestFit="1" customWidth="1"/>
    <col min="1019" max="1019" width="7.77734375" style="13" bestFit="1" customWidth="1"/>
    <col min="1020" max="1033" width="8.88671875" style="13"/>
    <col min="1034" max="1034" width="7.77734375" style="13" bestFit="1" customWidth="1"/>
    <col min="1035" max="1036" width="8.88671875" style="13"/>
    <col min="1037" max="1037" width="5.5546875" style="13" bestFit="1" customWidth="1"/>
    <col min="1038" max="1040" width="8.88671875" style="13"/>
    <col min="1041" max="1041" width="7.77734375" style="13" bestFit="1" customWidth="1"/>
    <col min="1042" max="1042" width="8.88671875" style="13"/>
    <col min="1043" max="1043" width="7.77734375" style="13" bestFit="1" customWidth="1"/>
    <col min="1044" max="1047" width="8.88671875" style="13"/>
    <col min="1048" max="1051" width="7.77734375" style="13" bestFit="1" customWidth="1"/>
    <col min="1052" max="1057" width="8.88671875" style="13"/>
    <col min="1058" max="1058" width="7.77734375" style="13" bestFit="1" customWidth="1"/>
    <col min="1059" max="1062" width="8.88671875" style="13"/>
    <col min="1063" max="1064" width="7.77734375" style="13" bestFit="1" customWidth="1"/>
    <col min="1065" max="1068" width="8.88671875" style="13"/>
    <col min="1069" max="1070" width="7.77734375" style="13" bestFit="1" customWidth="1"/>
    <col min="1071" max="1072" width="8.88671875" style="13"/>
    <col min="1073" max="1073" width="7.77734375" style="13" bestFit="1" customWidth="1"/>
    <col min="1074" max="1075" width="8.88671875" style="13"/>
    <col min="1076" max="1077" width="7.77734375" style="13" bestFit="1" customWidth="1"/>
    <col min="1078" max="1083" width="8.88671875" style="13"/>
    <col min="1084" max="1084" width="7.77734375" style="13" bestFit="1" customWidth="1"/>
    <col min="1085" max="1085" width="8.88671875" style="13"/>
    <col min="1086" max="1086" width="7.77734375" style="13" bestFit="1" customWidth="1"/>
    <col min="1087" max="1089" width="8.88671875" style="13"/>
    <col min="1090" max="1090" width="7.77734375" style="13" bestFit="1" customWidth="1"/>
    <col min="1091" max="1105" width="8.88671875" style="13"/>
    <col min="1106" max="1106" width="7.77734375" style="13" bestFit="1" customWidth="1"/>
    <col min="1107" max="1108" width="8.88671875" style="13"/>
    <col min="1109" max="1109" width="7.77734375" style="13" bestFit="1" customWidth="1"/>
    <col min="1110" max="1110" width="8.88671875" style="13"/>
    <col min="1111" max="1111" width="7.77734375" style="13" bestFit="1" customWidth="1"/>
    <col min="1112" max="1112" width="8.88671875" style="13"/>
    <col min="1113" max="1113" width="7.77734375" style="13" bestFit="1" customWidth="1"/>
    <col min="1114" max="1119" width="8.88671875" style="13"/>
    <col min="1120" max="1121" width="7.77734375" style="13" bestFit="1" customWidth="1"/>
    <col min="1122" max="1123" width="8.88671875" style="13"/>
    <col min="1124" max="1124" width="7.77734375" style="13" bestFit="1" customWidth="1"/>
    <col min="1125" max="1126" width="8.88671875" style="13"/>
    <col min="1127" max="1127" width="5.5546875" style="13" bestFit="1" customWidth="1"/>
    <col min="1128" max="1137" width="8.88671875" style="13"/>
    <col min="1138" max="1138" width="7.77734375" style="13" bestFit="1" customWidth="1"/>
    <col min="1139" max="1140" width="8.88671875" style="13"/>
    <col min="1141" max="1141" width="7.77734375" style="13" bestFit="1" customWidth="1"/>
    <col min="1142" max="1145" width="8.88671875" style="13"/>
    <col min="1146" max="1147" width="7.77734375" style="13" bestFit="1" customWidth="1"/>
    <col min="1148" max="1148" width="8.88671875" style="13"/>
    <col min="1149" max="1151" width="7.77734375" style="13" bestFit="1" customWidth="1"/>
    <col min="1152" max="1152" width="8.88671875" style="13"/>
    <col min="1153" max="1153" width="7.77734375" style="13" bestFit="1" customWidth="1"/>
    <col min="1154" max="1158" width="8.88671875" style="13"/>
    <col min="1159" max="1159" width="7.77734375" style="13" bestFit="1" customWidth="1"/>
    <col min="1160" max="1160" width="8.88671875" style="13"/>
    <col min="1161" max="1161" width="5.5546875" style="13" bestFit="1" customWidth="1"/>
    <col min="1162" max="1163" width="8.88671875" style="13"/>
    <col min="1164" max="1164" width="7.77734375" style="13" bestFit="1" customWidth="1"/>
    <col min="1165" max="1165" width="8.88671875" style="13"/>
    <col min="1166" max="1166" width="7.77734375" style="13" bestFit="1" customWidth="1"/>
    <col min="1167" max="1167" width="8.88671875" style="13"/>
    <col min="1168" max="1168" width="7.77734375" style="13" bestFit="1" customWidth="1"/>
    <col min="1169" max="1169" width="8.88671875" style="13"/>
    <col min="1170" max="1172" width="7.77734375" style="13" bestFit="1" customWidth="1"/>
    <col min="1173" max="1173" width="8.88671875" style="13"/>
    <col min="1174" max="1174" width="7.77734375" style="13" bestFit="1" customWidth="1"/>
    <col min="1175" max="1175" width="8.88671875" style="13"/>
    <col min="1176" max="1176" width="7.77734375" style="13" bestFit="1" customWidth="1"/>
    <col min="1177" max="1179" width="8.88671875" style="13"/>
    <col min="1180" max="1180" width="7.77734375" style="13" bestFit="1" customWidth="1"/>
    <col min="1181" max="1182" width="5.5546875" style="13" bestFit="1" customWidth="1"/>
    <col min="1183" max="1183" width="7.77734375" style="13" bestFit="1" customWidth="1"/>
    <col min="1184" max="1186" width="8.88671875" style="13"/>
    <col min="1187" max="1187" width="7.77734375" style="13" bestFit="1" customWidth="1"/>
    <col min="1188" max="1188" width="8.88671875" style="13"/>
    <col min="1189" max="1190" width="7.77734375" style="13" bestFit="1" customWidth="1"/>
    <col min="1191" max="1194" width="8.88671875" style="13"/>
    <col min="1195" max="1195" width="7.77734375" style="13" bestFit="1" customWidth="1"/>
    <col min="1196" max="1196" width="8.88671875" style="13"/>
    <col min="1197" max="1197" width="5.5546875" style="13" bestFit="1" customWidth="1"/>
    <col min="1198" max="1198" width="7.77734375" style="13" bestFit="1" customWidth="1"/>
    <col min="1199" max="1199" width="8.88671875" style="13"/>
    <col min="1200" max="1202" width="7.77734375" style="13" bestFit="1" customWidth="1"/>
    <col min="1203" max="1203" width="8.88671875" style="13"/>
    <col min="1204" max="1204" width="7.77734375" style="13" bestFit="1" customWidth="1"/>
    <col min="1205" max="1205" width="12.109375" style="13" bestFit="1" customWidth="1"/>
    <col min="1206" max="16384" width="8.88671875" style="13"/>
  </cols>
  <sheetData>
    <row r="1" spans="1:1205" ht="16.2" thickBot="1" x14ac:dyDescent="0.35"/>
    <row r="2" spans="1:1205" x14ac:dyDescent="0.3">
      <c r="A2" s="8" t="s">
        <v>4315</v>
      </c>
      <c r="B2" s="4" t="s">
        <v>4</v>
      </c>
      <c r="C2" s="7" t="s">
        <v>5</v>
      </c>
      <c r="D2" s="4" t="s">
        <v>10</v>
      </c>
      <c r="E2" s="4" t="s">
        <v>13</v>
      </c>
      <c r="I2" s="17" t="s">
        <v>4340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1205" x14ac:dyDescent="0.3">
      <c r="A3" s="5" t="s">
        <v>4310</v>
      </c>
      <c r="B3" s="9">
        <v>2.9458333333333333</v>
      </c>
      <c r="C3" s="9">
        <v>356.41275000000007</v>
      </c>
      <c r="D3" s="9">
        <v>5.4850000000000003</v>
      </c>
      <c r="E3" s="11">
        <v>1053.9683000000005</v>
      </c>
      <c r="I3" s="14" t="s">
        <v>4316</v>
      </c>
      <c r="J3" s="14" t="s">
        <v>4341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</row>
    <row r="4" spans="1:1205" x14ac:dyDescent="0.3">
      <c r="A4" s="5" t="s">
        <v>4311</v>
      </c>
      <c r="B4" s="9">
        <v>3</v>
      </c>
      <c r="C4" s="9">
        <v>364.21</v>
      </c>
      <c r="D4" s="9">
        <v>5</v>
      </c>
      <c r="E4" s="11">
        <v>823.61500000000001</v>
      </c>
      <c r="J4" s="13" t="s">
        <v>4327</v>
      </c>
      <c r="K4" s="13" t="s">
        <v>4328</v>
      </c>
      <c r="L4" s="13" t="s">
        <v>4329</v>
      </c>
      <c r="M4" s="13" t="s">
        <v>4330</v>
      </c>
      <c r="N4" s="13" t="s">
        <v>4331</v>
      </c>
      <c r="O4" s="13" t="s">
        <v>4332</v>
      </c>
      <c r="P4" s="13" t="s">
        <v>4333</v>
      </c>
      <c r="Q4" s="13" t="s">
        <v>4334</v>
      </c>
      <c r="R4" s="13" t="s">
        <v>4335</v>
      </c>
      <c r="S4" s="13" t="s">
        <v>4336</v>
      </c>
      <c r="T4" s="13" t="s">
        <v>4337</v>
      </c>
      <c r="U4" s="13" t="s">
        <v>4338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</row>
    <row r="5" spans="1:1205" x14ac:dyDescent="0.3">
      <c r="A5" s="5" t="s">
        <v>4312</v>
      </c>
      <c r="B5" s="9">
        <v>1</v>
      </c>
      <c r="C5" s="9">
        <v>11.39</v>
      </c>
      <c r="D5" s="9">
        <v>1</v>
      </c>
      <c r="E5" s="11">
        <v>11.39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</row>
    <row r="6" spans="1:1205" x14ac:dyDescent="0.3">
      <c r="A6" s="5" t="s">
        <v>4313</v>
      </c>
      <c r="B6" s="9">
        <v>5</v>
      </c>
      <c r="C6" s="9">
        <v>699.93</v>
      </c>
      <c r="D6" s="9">
        <v>10</v>
      </c>
      <c r="E6" s="11">
        <v>3456.4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</row>
    <row r="7" spans="1:1205" ht="16.2" thickBot="1" x14ac:dyDescent="0.35">
      <c r="A7" s="6" t="s">
        <v>4314</v>
      </c>
      <c r="B7" s="10">
        <v>1200</v>
      </c>
      <c r="C7" s="10">
        <v>1200</v>
      </c>
      <c r="D7" s="10">
        <v>1200</v>
      </c>
      <c r="E7" s="12">
        <v>1200</v>
      </c>
      <c r="I7" s="14" t="s">
        <v>4317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</row>
    <row r="8" spans="1:1205" x14ac:dyDescent="0.3">
      <c r="I8" s="15" t="s">
        <v>2406</v>
      </c>
      <c r="J8" s="16">
        <v>24310.660000000003</v>
      </c>
      <c r="K8" s="16">
        <v>12223.34</v>
      </c>
      <c r="L8" s="16">
        <v>12336.96</v>
      </c>
      <c r="M8" s="16">
        <v>9401.7000000000007</v>
      </c>
      <c r="N8" s="16">
        <v>19105.840000000004</v>
      </c>
      <c r="O8" s="16">
        <v>34630.070000000007</v>
      </c>
      <c r="P8" s="16">
        <v>14263.900000000001</v>
      </c>
      <c r="Q8" s="16">
        <v>14110.829999999998</v>
      </c>
      <c r="R8" s="16">
        <v>11492.960000000001</v>
      </c>
      <c r="S8" s="16">
        <v>15658.27</v>
      </c>
      <c r="T8" s="16">
        <v>17915.489999999998</v>
      </c>
      <c r="U8" s="16">
        <v>10170.089999999998</v>
      </c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</row>
    <row r="9" spans="1:1205" x14ac:dyDescent="0.3">
      <c r="A9" s="17" t="s">
        <v>4320</v>
      </c>
      <c r="B9" s="17"/>
      <c r="C9" s="17"/>
      <c r="E9" s="17" t="s">
        <v>4322</v>
      </c>
      <c r="F9" s="17"/>
      <c r="G9" s="17"/>
      <c r="I9" s="15" t="s">
        <v>2409</v>
      </c>
      <c r="J9" s="16">
        <v>5360.04</v>
      </c>
      <c r="K9" s="16">
        <v>21456.059999999998</v>
      </c>
      <c r="L9" s="16">
        <v>13612.27</v>
      </c>
      <c r="M9" s="16">
        <v>17741.530000000002</v>
      </c>
      <c r="N9" s="16">
        <v>19008.660000000003</v>
      </c>
      <c r="O9" s="16">
        <v>24887.909999999996</v>
      </c>
      <c r="P9" s="16">
        <v>16407.66</v>
      </c>
      <c r="Q9" s="16">
        <v>10799.11</v>
      </c>
      <c r="R9" s="16">
        <v>14355.659999999998</v>
      </c>
      <c r="S9" s="16">
        <v>6827.1900000000005</v>
      </c>
      <c r="T9" s="16">
        <v>6414.4299999999994</v>
      </c>
      <c r="U9" s="16">
        <v>10589.409999999998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</row>
    <row r="10" spans="1:1205" x14ac:dyDescent="0.3">
      <c r="A10" s="14" t="s">
        <v>4324</v>
      </c>
      <c r="B10" s="13" t="s">
        <v>4316</v>
      </c>
      <c r="C10" s="13" t="s">
        <v>4319</v>
      </c>
      <c r="E10" s="14" t="s">
        <v>4326</v>
      </c>
      <c r="F10" s="13" t="s">
        <v>4319</v>
      </c>
      <c r="G10" s="13" t="s">
        <v>4316</v>
      </c>
      <c r="I10" s="15" t="s">
        <v>2408</v>
      </c>
      <c r="J10" s="16">
        <v>19760.84</v>
      </c>
      <c r="K10" s="16">
        <v>11174.039999999999</v>
      </c>
      <c r="L10" s="16">
        <v>20774.429999999997</v>
      </c>
      <c r="M10" s="16">
        <v>26051.74</v>
      </c>
      <c r="N10" s="16">
        <v>21212.44</v>
      </c>
      <c r="O10" s="16">
        <v>10703.01</v>
      </c>
      <c r="P10" s="16">
        <v>18490.629999999997</v>
      </c>
      <c r="Q10" s="16">
        <v>8016.01</v>
      </c>
      <c r="R10" s="16">
        <v>12829.509999999998</v>
      </c>
      <c r="S10" s="16">
        <v>21067.519999999997</v>
      </c>
      <c r="T10" s="16">
        <v>15771.14</v>
      </c>
      <c r="U10" s="16">
        <v>6275.2499999999991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</row>
    <row r="11" spans="1:1205" x14ac:dyDescent="0.3">
      <c r="A11" s="15" t="s">
        <v>2406</v>
      </c>
      <c r="B11" s="16">
        <v>195620.11000000002</v>
      </c>
      <c r="C11" s="13">
        <v>178</v>
      </c>
      <c r="E11" s="15" t="s">
        <v>3069</v>
      </c>
      <c r="F11" s="13">
        <v>246</v>
      </c>
      <c r="G11" s="16">
        <v>259786.28999999992</v>
      </c>
      <c r="I11" s="15" t="s">
        <v>2403</v>
      </c>
      <c r="J11" s="16">
        <v>23691.05</v>
      </c>
      <c r="K11" s="16">
        <v>15725.69</v>
      </c>
      <c r="L11" s="16">
        <v>19614.150000000005</v>
      </c>
      <c r="M11" s="16">
        <v>13505.250000000002</v>
      </c>
      <c r="N11" s="16">
        <v>17786.18</v>
      </c>
      <c r="O11" s="16">
        <v>21277.33</v>
      </c>
      <c r="P11" s="16">
        <v>6380.21</v>
      </c>
      <c r="Q11" s="16">
        <v>14047.23</v>
      </c>
      <c r="R11" s="16">
        <v>3306.9599999999996</v>
      </c>
      <c r="S11" s="16">
        <v>12027.54</v>
      </c>
      <c r="T11" s="16">
        <v>9205.4299999999985</v>
      </c>
      <c r="U11" s="16">
        <v>19084.39</v>
      </c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</row>
    <row r="12" spans="1:1205" x14ac:dyDescent="0.3">
      <c r="A12" s="15" t="s">
        <v>2409</v>
      </c>
      <c r="B12" s="16">
        <v>167459.93</v>
      </c>
      <c r="C12" s="13">
        <v>170</v>
      </c>
      <c r="E12" s="15" t="s">
        <v>3067</v>
      </c>
      <c r="F12" s="13">
        <v>234</v>
      </c>
      <c r="G12" s="16">
        <v>263847.62999999989</v>
      </c>
      <c r="I12" s="15" t="s">
        <v>2404</v>
      </c>
      <c r="J12" s="16">
        <v>16557.22</v>
      </c>
      <c r="K12" s="16">
        <v>9087.61</v>
      </c>
      <c r="L12" s="16">
        <v>13228.260000000002</v>
      </c>
      <c r="M12" s="16">
        <v>10926.25</v>
      </c>
      <c r="N12" s="16">
        <v>16809.289999999997</v>
      </c>
      <c r="O12" s="16">
        <v>28169.440000000006</v>
      </c>
      <c r="P12" s="16">
        <v>8089.0599999999995</v>
      </c>
      <c r="Q12" s="16">
        <v>10651.35</v>
      </c>
      <c r="R12" s="16">
        <v>11808.66</v>
      </c>
      <c r="S12" s="16">
        <v>8746.86</v>
      </c>
      <c r="T12" s="16">
        <v>12895.310000000001</v>
      </c>
      <c r="U12" s="16">
        <v>4753.08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</row>
    <row r="13" spans="1:1205" x14ac:dyDescent="0.3">
      <c r="A13" s="15" t="s">
        <v>2408</v>
      </c>
      <c r="B13" s="16">
        <v>192126.55999999994</v>
      </c>
      <c r="C13" s="13">
        <v>173</v>
      </c>
      <c r="E13" s="15" t="s">
        <v>3065</v>
      </c>
      <c r="F13" s="13">
        <v>232</v>
      </c>
      <c r="G13" s="16">
        <v>232361.17999999996</v>
      </c>
      <c r="I13" s="15" t="s">
        <v>2407</v>
      </c>
      <c r="J13" s="16">
        <v>15776.64</v>
      </c>
      <c r="K13" s="16">
        <v>20492.23</v>
      </c>
      <c r="L13" s="16">
        <v>21734.05</v>
      </c>
      <c r="M13" s="16">
        <v>17236.650000000001</v>
      </c>
      <c r="N13" s="16">
        <v>19573.71</v>
      </c>
      <c r="O13" s="16">
        <v>31552.240000000005</v>
      </c>
      <c r="P13" s="16">
        <v>17166.78</v>
      </c>
      <c r="Q13" s="16">
        <v>13116.82</v>
      </c>
      <c r="R13" s="16">
        <v>2589.12</v>
      </c>
      <c r="S13" s="16">
        <v>15299.67</v>
      </c>
      <c r="T13" s="16">
        <v>8371.94</v>
      </c>
      <c r="U13" s="16">
        <v>12702.759999999998</v>
      </c>
      <c r="V13"/>
    </row>
    <row r="14" spans="1:1205" x14ac:dyDescent="0.3">
      <c r="A14" s="15" t="s">
        <v>2403</v>
      </c>
      <c r="B14" s="16">
        <v>175651.40999999997</v>
      </c>
      <c r="C14" s="13">
        <v>163</v>
      </c>
      <c r="E14" s="15" t="s">
        <v>3068</v>
      </c>
      <c r="F14" s="13">
        <v>230</v>
      </c>
      <c r="G14" s="16">
        <v>246323.9200000001</v>
      </c>
      <c r="I14" s="15" t="s">
        <v>2405</v>
      </c>
      <c r="J14" s="16">
        <v>18856.78</v>
      </c>
      <c r="K14" s="16">
        <v>22185.809999999998</v>
      </c>
      <c r="L14" s="16">
        <v>22540.809999999998</v>
      </c>
      <c r="M14" s="16">
        <v>14322.93</v>
      </c>
      <c r="N14" s="16">
        <v>21646.47</v>
      </c>
      <c r="O14" s="16">
        <v>19396.129999999997</v>
      </c>
      <c r="P14" s="16">
        <v>4986.3999999999996</v>
      </c>
      <c r="Q14" s="16">
        <v>15601.860000000002</v>
      </c>
      <c r="R14" s="16">
        <v>12938.78</v>
      </c>
      <c r="S14" s="16">
        <v>10207.77</v>
      </c>
      <c r="T14" s="16">
        <v>4919.6899999999996</v>
      </c>
      <c r="U14" s="16">
        <v>18965.52</v>
      </c>
      <c r="V14"/>
    </row>
    <row r="15" spans="1:1205" x14ac:dyDescent="0.3">
      <c r="A15" s="15" t="s">
        <v>2404</v>
      </c>
      <c r="B15" s="16">
        <v>151722.39000000001</v>
      </c>
      <c r="C15" s="13">
        <v>156</v>
      </c>
      <c r="E15" s="15" t="s">
        <v>3066</v>
      </c>
      <c r="F15" s="13">
        <v>258</v>
      </c>
      <c r="G15" s="16">
        <v>262442.94000000012</v>
      </c>
      <c r="I15" s="15" t="s">
        <v>4318</v>
      </c>
      <c r="J15" s="16">
        <v>124313.23000000001</v>
      </c>
      <c r="K15" s="16">
        <v>112344.77999999998</v>
      </c>
      <c r="L15" s="16">
        <v>123840.93000000001</v>
      </c>
      <c r="M15" s="16">
        <v>109186.04999999999</v>
      </c>
      <c r="N15" s="16">
        <v>135142.59</v>
      </c>
      <c r="O15" s="16">
        <v>170616.13</v>
      </c>
      <c r="P15" s="16">
        <v>85784.639999999985</v>
      </c>
      <c r="Q15" s="16">
        <v>86343.209999999992</v>
      </c>
      <c r="R15" s="16">
        <v>69321.650000000009</v>
      </c>
      <c r="S15" s="16">
        <v>89834.82</v>
      </c>
      <c r="T15" s="16">
        <v>75493.430000000008</v>
      </c>
      <c r="U15" s="16">
        <v>82540.5</v>
      </c>
      <c r="V15"/>
    </row>
    <row r="16" spans="1:1205" x14ac:dyDescent="0.3">
      <c r="A16" s="15" t="s">
        <v>2407</v>
      </c>
      <c r="B16" s="16">
        <v>195612.60999999996</v>
      </c>
      <c r="C16" s="13">
        <v>181</v>
      </c>
      <c r="E16" s="15" t="s">
        <v>4318</v>
      </c>
      <c r="F16" s="13">
        <v>1200</v>
      </c>
      <c r="G16" s="16">
        <v>1264761.9599999988</v>
      </c>
      <c r="I16"/>
      <c r="J16"/>
      <c r="K16"/>
      <c r="L16"/>
      <c r="M16"/>
      <c r="N16"/>
      <c r="O16"/>
      <c r="P16"/>
      <c r="Q16"/>
    </row>
    <row r="17" spans="1:17" x14ac:dyDescent="0.3">
      <c r="A17" s="15" t="s">
        <v>2405</v>
      </c>
      <c r="B17" s="16">
        <v>186568.95000000007</v>
      </c>
      <c r="C17" s="13">
        <v>179</v>
      </c>
      <c r="I17"/>
      <c r="J17"/>
      <c r="K17"/>
      <c r="L17"/>
      <c r="M17"/>
      <c r="N17"/>
      <c r="O17"/>
      <c r="P17"/>
      <c r="Q17"/>
    </row>
    <row r="18" spans="1:17" x14ac:dyDescent="0.3">
      <c r="A18" s="15" t="s">
        <v>4318</v>
      </c>
      <c r="B18" s="16">
        <v>1264761.959999999</v>
      </c>
      <c r="C18" s="13">
        <v>1200</v>
      </c>
      <c r="I18"/>
      <c r="J18"/>
      <c r="K18"/>
      <c r="L18"/>
      <c r="M18"/>
      <c r="N18"/>
      <c r="O18"/>
      <c r="P18"/>
      <c r="Q18"/>
    </row>
    <row r="19" spans="1:17" x14ac:dyDescent="0.3">
      <c r="E19" s="17" t="s">
        <v>4323</v>
      </c>
      <c r="F19" s="17"/>
      <c r="G19" s="17"/>
      <c r="I19"/>
      <c r="J19"/>
      <c r="K19"/>
      <c r="L19"/>
      <c r="M19"/>
      <c r="N19"/>
      <c r="O19"/>
      <c r="P19"/>
      <c r="Q19"/>
    </row>
    <row r="20" spans="1:17" x14ac:dyDescent="0.3">
      <c r="E20" s="14" t="s">
        <v>4339</v>
      </c>
      <c r="F20" s="13" t="s">
        <v>4319</v>
      </c>
      <c r="G20" s="13" t="s">
        <v>4316</v>
      </c>
      <c r="I20"/>
      <c r="J20"/>
      <c r="K20"/>
      <c r="L20"/>
      <c r="M20"/>
      <c r="N20"/>
      <c r="O20"/>
      <c r="P20"/>
      <c r="Q20"/>
    </row>
    <row r="21" spans="1:17" x14ac:dyDescent="0.3">
      <c r="A21" s="17" t="s">
        <v>4321</v>
      </c>
      <c r="B21" s="17"/>
      <c r="C21" s="17"/>
      <c r="E21" s="15" t="s">
        <v>4280</v>
      </c>
      <c r="F21" s="13">
        <v>250</v>
      </c>
      <c r="G21" s="16">
        <v>261808.55000000002</v>
      </c>
      <c r="I21"/>
      <c r="J21"/>
      <c r="K21"/>
      <c r="L21"/>
      <c r="M21"/>
      <c r="N21"/>
      <c r="O21"/>
      <c r="P21"/>
      <c r="Q21"/>
    </row>
    <row r="22" spans="1:17" x14ac:dyDescent="0.3">
      <c r="A22" s="14" t="s">
        <v>4325</v>
      </c>
      <c r="B22" s="13" t="s">
        <v>4319</v>
      </c>
      <c r="C22" s="13" t="s">
        <v>4316</v>
      </c>
      <c r="E22" s="15" t="s">
        <v>4281</v>
      </c>
      <c r="F22" s="13">
        <v>228</v>
      </c>
      <c r="G22" s="16">
        <v>250410.9</v>
      </c>
      <c r="I22"/>
      <c r="J22"/>
      <c r="K22"/>
      <c r="L22"/>
      <c r="M22"/>
      <c r="N22"/>
      <c r="O22"/>
      <c r="P22"/>
      <c r="Q22"/>
    </row>
    <row r="23" spans="1:17" x14ac:dyDescent="0.3">
      <c r="A23" s="15" t="s">
        <v>3071</v>
      </c>
      <c r="B23" s="13">
        <v>250</v>
      </c>
      <c r="C23" s="16">
        <v>276396.20999999996</v>
      </c>
      <c r="E23" s="15" t="s">
        <v>4282</v>
      </c>
      <c r="F23" s="13">
        <v>241</v>
      </c>
      <c r="G23" s="16">
        <v>250441.47999999998</v>
      </c>
      <c r="I23"/>
      <c r="J23"/>
      <c r="K23"/>
      <c r="L23"/>
      <c r="M23"/>
      <c r="N23"/>
      <c r="O23"/>
      <c r="P23"/>
      <c r="Q23"/>
    </row>
    <row r="24" spans="1:17" x14ac:dyDescent="0.3">
      <c r="A24" s="15" t="s">
        <v>3073</v>
      </c>
      <c r="B24" s="13">
        <v>231</v>
      </c>
      <c r="C24" s="16">
        <v>242600.31999999998</v>
      </c>
      <c r="E24" s="15" t="s">
        <v>4278</v>
      </c>
      <c r="F24" s="13">
        <v>259</v>
      </c>
      <c r="G24" s="16">
        <v>275285.45000000007</v>
      </c>
      <c r="I24"/>
      <c r="J24"/>
      <c r="K24"/>
      <c r="L24"/>
      <c r="M24"/>
      <c r="N24"/>
      <c r="O24"/>
      <c r="P24"/>
      <c r="Q24"/>
    </row>
    <row r="25" spans="1:17" x14ac:dyDescent="0.3">
      <c r="A25" s="15" t="s">
        <v>3074</v>
      </c>
      <c r="B25" s="13">
        <v>237</v>
      </c>
      <c r="C25" s="16">
        <v>256328.15000000002</v>
      </c>
      <c r="E25" s="15" t="s">
        <v>4279</v>
      </c>
      <c r="F25" s="13">
        <v>222</v>
      </c>
      <c r="G25" s="16">
        <v>226815.5799999999</v>
      </c>
      <c r="I25"/>
      <c r="J25"/>
      <c r="K25"/>
      <c r="L25"/>
      <c r="M25"/>
      <c r="N25"/>
      <c r="O25"/>
      <c r="P25"/>
      <c r="Q25"/>
    </row>
    <row r="26" spans="1:17" x14ac:dyDescent="0.3">
      <c r="A26" s="15" t="s">
        <v>3072</v>
      </c>
      <c r="B26" s="13">
        <v>247</v>
      </c>
      <c r="C26" s="16">
        <v>243277.70000000013</v>
      </c>
      <c r="E26" s="15" t="s">
        <v>4318</v>
      </c>
      <c r="F26" s="13">
        <v>1200</v>
      </c>
      <c r="G26" s="16">
        <v>1264761.9600000007</v>
      </c>
      <c r="I26"/>
      <c r="J26"/>
      <c r="K26"/>
      <c r="L26"/>
      <c r="M26"/>
      <c r="N26"/>
      <c r="O26"/>
      <c r="P26"/>
      <c r="Q26"/>
    </row>
    <row r="27" spans="1:17" x14ac:dyDescent="0.3">
      <c r="A27" s="15" t="s">
        <v>3070</v>
      </c>
      <c r="B27" s="13">
        <v>235</v>
      </c>
      <c r="C27" s="16">
        <v>246159.57999999987</v>
      </c>
      <c r="I27"/>
      <c r="J27"/>
      <c r="K27"/>
      <c r="L27"/>
      <c r="M27"/>
      <c r="N27"/>
      <c r="O27"/>
      <c r="P27"/>
      <c r="Q27"/>
    </row>
    <row r="28" spans="1:17" x14ac:dyDescent="0.3">
      <c r="A28" s="15" t="s">
        <v>4318</v>
      </c>
      <c r="B28" s="13">
        <v>1200</v>
      </c>
      <c r="C28" s="16">
        <v>1264761.9600000014</v>
      </c>
      <c r="I28"/>
      <c r="J28"/>
      <c r="K28"/>
      <c r="L28"/>
      <c r="M28"/>
      <c r="N28"/>
      <c r="O28"/>
      <c r="P28"/>
      <c r="Q28"/>
    </row>
    <row r="29" spans="1:17" x14ac:dyDescent="0.3">
      <c r="A29"/>
      <c r="B29"/>
      <c r="C29"/>
      <c r="I29"/>
      <c r="J29"/>
      <c r="K29"/>
      <c r="L29"/>
      <c r="M29"/>
      <c r="N29"/>
      <c r="O29"/>
      <c r="P29"/>
      <c r="Q29"/>
    </row>
    <row r="30" spans="1:17" x14ac:dyDescent="0.3">
      <c r="A30"/>
      <c r="B30"/>
      <c r="C30"/>
      <c r="I30"/>
      <c r="J30"/>
      <c r="K30"/>
      <c r="L30"/>
      <c r="M30"/>
      <c r="N30"/>
      <c r="O30"/>
      <c r="P30"/>
      <c r="Q30"/>
    </row>
    <row r="31" spans="1:17" x14ac:dyDescent="0.3">
      <c r="I31"/>
      <c r="J31"/>
      <c r="K31"/>
      <c r="L31"/>
      <c r="M31"/>
      <c r="N31"/>
      <c r="O31"/>
      <c r="P31"/>
      <c r="Q31"/>
    </row>
    <row r="32" spans="1:17" x14ac:dyDescent="0.3">
      <c r="I32"/>
      <c r="J32"/>
      <c r="K32"/>
      <c r="L32"/>
      <c r="M32"/>
      <c r="N32"/>
      <c r="O32"/>
      <c r="P32"/>
      <c r="Q32"/>
    </row>
    <row r="33" spans="9:17" x14ac:dyDescent="0.3">
      <c r="I33"/>
      <c r="J33"/>
      <c r="K33"/>
      <c r="L33"/>
      <c r="M33"/>
      <c r="N33"/>
      <c r="O33"/>
      <c r="P33"/>
      <c r="Q33"/>
    </row>
    <row r="34" spans="9:17" x14ac:dyDescent="0.3">
      <c r="I34"/>
      <c r="J34"/>
      <c r="K34"/>
      <c r="L34"/>
      <c r="M34"/>
      <c r="N34"/>
      <c r="O34"/>
      <c r="P34"/>
      <c r="Q34"/>
    </row>
    <row r="35" spans="9:17" x14ac:dyDescent="0.3">
      <c r="I35"/>
      <c r="J35"/>
      <c r="K35"/>
      <c r="L35"/>
      <c r="M35"/>
      <c r="N35"/>
      <c r="O35"/>
      <c r="P35"/>
      <c r="Q35"/>
    </row>
    <row r="36" spans="9:17" x14ac:dyDescent="0.3">
      <c r="I36"/>
      <c r="J36"/>
      <c r="K36"/>
      <c r="L36"/>
      <c r="M36"/>
      <c r="N36"/>
      <c r="O36"/>
      <c r="P36"/>
      <c r="Q36"/>
    </row>
    <row r="37" spans="9:17" x14ac:dyDescent="0.3">
      <c r="I37"/>
      <c r="J37"/>
      <c r="K37"/>
      <c r="L37"/>
      <c r="M37"/>
      <c r="N37"/>
      <c r="O37"/>
      <c r="P37"/>
      <c r="Q37"/>
    </row>
    <row r="38" spans="9:17" x14ac:dyDescent="0.3">
      <c r="I38"/>
      <c r="J38"/>
      <c r="K38"/>
      <c r="L38"/>
      <c r="M38"/>
      <c r="N38"/>
      <c r="O38"/>
      <c r="P38"/>
      <c r="Q38"/>
    </row>
    <row r="39" spans="9:17" x14ac:dyDescent="0.3">
      <c r="I39"/>
      <c r="J39"/>
      <c r="K39"/>
      <c r="L39"/>
      <c r="M39"/>
      <c r="N39"/>
      <c r="O39"/>
      <c r="P39"/>
      <c r="Q39"/>
    </row>
    <row r="40" spans="9:17" x14ac:dyDescent="0.3">
      <c r="I40"/>
      <c r="J40"/>
      <c r="K40"/>
      <c r="L40"/>
      <c r="M40"/>
      <c r="N40"/>
      <c r="O40"/>
      <c r="P40"/>
      <c r="Q40"/>
    </row>
    <row r="41" spans="9:17" x14ac:dyDescent="0.3">
      <c r="I41"/>
      <c r="J41"/>
      <c r="K41"/>
      <c r="L41"/>
      <c r="M41"/>
      <c r="N41"/>
      <c r="O41"/>
      <c r="P41"/>
      <c r="Q41"/>
    </row>
    <row r="42" spans="9:17" x14ac:dyDescent="0.3">
      <c r="I42"/>
      <c r="J42"/>
      <c r="K42"/>
      <c r="L42"/>
      <c r="M42"/>
      <c r="N42"/>
      <c r="O42"/>
      <c r="P42"/>
      <c r="Q42"/>
    </row>
    <row r="43" spans="9:17" x14ac:dyDescent="0.3">
      <c r="I43"/>
      <c r="J43"/>
      <c r="K43"/>
      <c r="L43"/>
      <c r="M43"/>
      <c r="N43"/>
      <c r="O43"/>
      <c r="P43"/>
      <c r="Q43"/>
    </row>
    <row r="44" spans="9:17" x14ac:dyDescent="0.3">
      <c r="I44"/>
      <c r="J44"/>
      <c r="K44"/>
      <c r="L44"/>
      <c r="M44"/>
      <c r="N44"/>
      <c r="O44"/>
      <c r="P44"/>
      <c r="Q44"/>
    </row>
    <row r="45" spans="9:17" x14ac:dyDescent="0.3">
      <c r="I45"/>
      <c r="J45"/>
      <c r="K45"/>
      <c r="L45"/>
      <c r="M45"/>
      <c r="N45"/>
      <c r="O45"/>
      <c r="P45"/>
      <c r="Q45"/>
    </row>
    <row r="46" spans="9:17" x14ac:dyDescent="0.3">
      <c r="I46"/>
      <c r="J46"/>
      <c r="K46"/>
      <c r="L46"/>
      <c r="M46"/>
      <c r="N46"/>
      <c r="O46"/>
      <c r="P46"/>
      <c r="Q46"/>
    </row>
    <row r="47" spans="9:17" x14ac:dyDescent="0.3">
      <c r="I47"/>
      <c r="J47"/>
      <c r="K47"/>
      <c r="L47"/>
      <c r="M47"/>
      <c r="N47"/>
      <c r="O47"/>
      <c r="P47"/>
      <c r="Q47"/>
    </row>
    <row r="48" spans="9:17" x14ac:dyDescent="0.3">
      <c r="I48"/>
      <c r="J48"/>
      <c r="K48"/>
      <c r="L48"/>
      <c r="M48"/>
      <c r="N48"/>
      <c r="O48"/>
      <c r="P48"/>
      <c r="Q48"/>
    </row>
    <row r="49" spans="9:17" x14ac:dyDescent="0.3">
      <c r="I49"/>
      <c r="J49"/>
      <c r="K49"/>
      <c r="L49"/>
      <c r="M49"/>
      <c r="N49"/>
      <c r="O49"/>
      <c r="P49"/>
      <c r="Q49"/>
    </row>
    <row r="50" spans="9:17" x14ac:dyDescent="0.3">
      <c r="I50"/>
      <c r="J50"/>
      <c r="K50"/>
      <c r="L50"/>
      <c r="M50"/>
      <c r="N50"/>
      <c r="O50"/>
      <c r="P50"/>
      <c r="Q50"/>
    </row>
    <row r="51" spans="9:17" x14ac:dyDescent="0.3">
      <c r="I51"/>
      <c r="J51"/>
      <c r="K51"/>
      <c r="L51"/>
      <c r="M51"/>
      <c r="N51"/>
      <c r="O51"/>
      <c r="P51"/>
      <c r="Q51"/>
    </row>
    <row r="52" spans="9:17" x14ac:dyDescent="0.3">
      <c r="I52"/>
      <c r="J52"/>
      <c r="K52"/>
      <c r="L52"/>
      <c r="M52"/>
      <c r="N52"/>
      <c r="O52"/>
      <c r="P52"/>
      <c r="Q52"/>
    </row>
    <row r="53" spans="9:17" x14ac:dyDescent="0.3">
      <c r="I53"/>
      <c r="J53"/>
      <c r="K53"/>
      <c r="L53"/>
      <c r="M53"/>
      <c r="N53"/>
      <c r="O53"/>
      <c r="P53"/>
      <c r="Q53"/>
    </row>
    <row r="54" spans="9:17" x14ac:dyDescent="0.3">
      <c r="I54"/>
      <c r="J54"/>
      <c r="K54"/>
      <c r="L54"/>
      <c r="M54"/>
      <c r="N54"/>
      <c r="O54"/>
      <c r="P54"/>
      <c r="Q54"/>
    </row>
    <row r="55" spans="9:17" x14ac:dyDescent="0.3">
      <c r="I55"/>
      <c r="J55"/>
      <c r="K55"/>
      <c r="L55"/>
      <c r="M55"/>
      <c r="N55"/>
      <c r="O55"/>
      <c r="P55"/>
      <c r="Q55"/>
    </row>
    <row r="56" spans="9:17" x14ac:dyDescent="0.3">
      <c r="I56"/>
      <c r="J56"/>
      <c r="K56"/>
      <c r="L56"/>
      <c r="M56"/>
      <c r="N56"/>
      <c r="O56"/>
      <c r="P56"/>
      <c r="Q56"/>
    </row>
    <row r="57" spans="9:17" x14ac:dyDescent="0.3">
      <c r="I57"/>
      <c r="J57"/>
      <c r="K57"/>
      <c r="L57"/>
      <c r="M57"/>
      <c r="N57"/>
      <c r="O57"/>
      <c r="P57"/>
      <c r="Q57"/>
    </row>
    <row r="58" spans="9:17" x14ac:dyDescent="0.3">
      <c r="I58"/>
      <c r="J58"/>
      <c r="K58"/>
      <c r="L58"/>
      <c r="M58"/>
      <c r="N58"/>
      <c r="O58"/>
      <c r="P58"/>
      <c r="Q58"/>
    </row>
    <row r="59" spans="9:17" x14ac:dyDescent="0.3">
      <c r="I59"/>
      <c r="J59"/>
      <c r="K59"/>
      <c r="L59"/>
      <c r="M59"/>
      <c r="N59"/>
      <c r="O59"/>
      <c r="P59"/>
      <c r="Q59"/>
    </row>
    <row r="60" spans="9:17" x14ac:dyDescent="0.3">
      <c r="I60"/>
      <c r="J60"/>
      <c r="K60"/>
      <c r="L60"/>
      <c r="M60"/>
      <c r="N60"/>
      <c r="O60"/>
      <c r="P60"/>
      <c r="Q60"/>
    </row>
    <row r="61" spans="9:17" x14ac:dyDescent="0.3">
      <c r="I61"/>
      <c r="J61"/>
      <c r="K61"/>
      <c r="L61"/>
      <c r="M61"/>
      <c r="N61"/>
      <c r="O61"/>
      <c r="P61"/>
      <c r="Q61"/>
    </row>
    <row r="62" spans="9:17" x14ac:dyDescent="0.3">
      <c r="I62"/>
      <c r="J62"/>
      <c r="K62"/>
      <c r="L62"/>
      <c r="M62"/>
      <c r="N62"/>
      <c r="O62"/>
      <c r="P62"/>
      <c r="Q62"/>
    </row>
    <row r="63" spans="9:17" x14ac:dyDescent="0.3">
      <c r="I63"/>
      <c r="J63"/>
      <c r="K63"/>
      <c r="L63"/>
      <c r="M63"/>
      <c r="N63"/>
      <c r="O63"/>
      <c r="P63"/>
      <c r="Q63"/>
    </row>
    <row r="64" spans="9:17" x14ac:dyDescent="0.3">
      <c r="I64"/>
      <c r="J64"/>
      <c r="K64"/>
      <c r="L64"/>
      <c r="M64"/>
      <c r="N64"/>
      <c r="O64"/>
      <c r="P64"/>
      <c r="Q64"/>
    </row>
    <row r="65" spans="9:17" x14ac:dyDescent="0.3">
      <c r="I65"/>
      <c r="J65"/>
      <c r="K65"/>
      <c r="L65"/>
      <c r="M65"/>
      <c r="N65"/>
      <c r="O65"/>
      <c r="P65"/>
      <c r="Q65"/>
    </row>
    <row r="66" spans="9:17" x14ac:dyDescent="0.3">
      <c r="I66"/>
      <c r="J66"/>
      <c r="K66"/>
      <c r="L66"/>
      <c r="M66"/>
      <c r="N66"/>
      <c r="O66"/>
      <c r="P66"/>
      <c r="Q66"/>
    </row>
    <row r="67" spans="9:17" x14ac:dyDescent="0.3">
      <c r="I67"/>
      <c r="J67"/>
      <c r="K67"/>
      <c r="L67"/>
      <c r="M67"/>
      <c r="N67"/>
      <c r="O67"/>
      <c r="P67"/>
      <c r="Q67"/>
    </row>
    <row r="68" spans="9:17" x14ac:dyDescent="0.3">
      <c r="I68"/>
      <c r="J68"/>
      <c r="K68"/>
      <c r="L68"/>
      <c r="M68"/>
      <c r="N68"/>
      <c r="O68"/>
      <c r="P68"/>
      <c r="Q68"/>
    </row>
    <row r="69" spans="9:17" x14ac:dyDescent="0.3">
      <c r="I69"/>
      <c r="J69"/>
      <c r="K69"/>
      <c r="L69"/>
      <c r="M69"/>
      <c r="N69"/>
      <c r="O69"/>
      <c r="P69"/>
      <c r="Q69"/>
    </row>
    <row r="70" spans="9:17" x14ac:dyDescent="0.3">
      <c r="I70"/>
      <c r="J70"/>
      <c r="K70"/>
      <c r="L70"/>
      <c r="M70"/>
      <c r="N70"/>
      <c r="O70"/>
      <c r="P70"/>
      <c r="Q70"/>
    </row>
    <row r="71" spans="9:17" x14ac:dyDescent="0.3">
      <c r="I71"/>
      <c r="J71"/>
      <c r="K71"/>
      <c r="L71"/>
      <c r="M71"/>
      <c r="N71"/>
      <c r="O71"/>
      <c r="P71"/>
      <c r="Q71"/>
    </row>
    <row r="72" spans="9:17" x14ac:dyDescent="0.3">
      <c r="I72"/>
      <c r="J72"/>
      <c r="K72"/>
      <c r="L72"/>
      <c r="M72"/>
      <c r="N72"/>
      <c r="O72"/>
      <c r="P72"/>
      <c r="Q72"/>
    </row>
    <row r="73" spans="9:17" x14ac:dyDescent="0.3">
      <c r="I73"/>
      <c r="J73"/>
      <c r="K73"/>
      <c r="L73"/>
      <c r="M73"/>
      <c r="N73"/>
      <c r="O73"/>
      <c r="P73"/>
      <c r="Q73"/>
    </row>
    <row r="74" spans="9:17" x14ac:dyDescent="0.3">
      <c r="I74"/>
      <c r="J74"/>
      <c r="K74"/>
      <c r="L74"/>
      <c r="M74"/>
      <c r="N74"/>
      <c r="O74"/>
      <c r="P74"/>
      <c r="Q74"/>
    </row>
    <row r="75" spans="9:17" x14ac:dyDescent="0.3">
      <c r="I75"/>
      <c r="J75"/>
      <c r="K75"/>
      <c r="L75"/>
      <c r="M75"/>
      <c r="N75"/>
      <c r="O75"/>
      <c r="P75"/>
      <c r="Q75"/>
    </row>
    <row r="76" spans="9:17" x14ac:dyDescent="0.3">
      <c r="I76"/>
      <c r="J76"/>
      <c r="K76"/>
      <c r="L76"/>
      <c r="M76"/>
      <c r="N76"/>
      <c r="O76"/>
      <c r="P76"/>
      <c r="Q76"/>
    </row>
    <row r="77" spans="9:17" x14ac:dyDescent="0.3">
      <c r="I77"/>
      <c r="J77"/>
      <c r="K77"/>
      <c r="L77"/>
      <c r="M77"/>
      <c r="N77"/>
      <c r="O77"/>
      <c r="P77"/>
      <c r="Q77"/>
    </row>
    <row r="78" spans="9:17" x14ac:dyDescent="0.3">
      <c r="I78"/>
      <c r="J78"/>
      <c r="K78"/>
      <c r="L78"/>
      <c r="M78"/>
      <c r="N78"/>
      <c r="O78"/>
      <c r="P78"/>
      <c r="Q78"/>
    </row>
    <row r="79" spans="9:17" x14ac:dyDescent="0.3">
      <c r="I79"/>
      <c r="J79"/>
      <c r="K79"/>
      <c r="L79"/>
      <c r="M79"/>
      <c r="N79"/>
      <c r="O79"/>
      <c r="P79"/>
      <c r="Q79"/>
    </row>
    <row r="80" spans="9:17" x14ac:dyDescent="0.3">
      <c r="I80"/>
      <c r="J80"/>
      <c r="K80"/>
      <c r="L80"/>
      <c r="M80"/>
      <c r="N80"/>
      <c r="O80"/>
      <c r="P80"/>
      <c r="Q80"/>
    </row>
    <row r="81" spans="9:17" x14ac:dyDescent="0.3">
      <c r="I81"/>
      <c r="J81"/>
      <c r="K81"/>
      <c r="L81"/>
      <c r="M81"/>
      <c r="N81"/>
      <c r="O81"/>
      <c r="P81"/>
      <c r="Q81"/>
    </row>
    <row r="82" spans="9:17" x14ac:dyDescent="0.3">
      <c r="I82"/>
      <c r="J82"/>
      <c r="K82"/>
      <c r="L82"/>
      <c r="M82"/>
      <c r="N82"/>
      <c r="O82"/>
      <c r="P82"/>
      <c r="Q82"/>
    </row>
    <row r="83" spans="9:17" x14ac:dyDescent="0.3">
      <c r="I83"/>
      <c r="J83"/>
      <c r="K83"/>
      <c r="L83"/>
      <c r="M83"/>
      <c r="N83"/>
      <c r="O83"/>
      <c r="P83"/>
      <c r="Q83"/>
    </row>
    <row r="84" spans="9:17" x14ac:dyDescent="0.3">
      <c r="I84"/>
      <c r="J84"/>
      <c r="K84"/>
      <c r="L84"/>
      <c r="M84"/>
      <c r="N84"/>
      <c r="O84"/>
      <c r="P84"/>
      <c r="Q84"/>
    </row>
    <row r="85" spans="9:17" x14ac:dyDescent="0.3">
      <c r="I85"/>
      <c r="J85"/>
      <c r="K85"/>
      <c r="L85"/>
      <c r="M85"/>
      <c r="N85"/>
      <c r="O85"/>
      <c r="P85"/>
      <c r="Q85"/>
    </row>
    <row r="86" spans="9:17" x14ac:dyDescent="0.3">
      <c r="I86"/>
      <c r="J86"/>
      <c r="K86"/>
      <c r="L86"/>
      <c r="M86"/>
      <c r="N86"/>
      <c r="O86"/>
      <c r="P86"/>
      <c r="Q86"/>
    </row>
    <row r="87" spans="9:17" x14ac:dyDescent="0.3">
      <c r="I87"/>
      <c r="J87"/>
      <c r="K87"/>
      <c r="L87"/>
      <c r="M87"/>
      <c r="N87"/>
      <c r="O87"/>
      <c r="P87"/>
      <c r="Q87"/>
    </row>
    <row r="88" spans="9:17" x14ac:dyDescent="0.3">
      <c r="I88"/>
      <c r="J88"/>
      <c r="K88"/>
      <c r="L88"/>
      <c r="M88"/>
      <c r="N88"/>
      <c r="O88"/>
      <c r="P88"/>
      <c r="Q88"/>
    </row>
    <row r="89" spans="9:17" x14ac:dyDescent="0.3">
      <c r="I89"/>
      <c r="J89"/>
      <c r="K89"/>
      <c r="L89"/>
      <c r="M89"/>
      <c r="N89"/>
      <c r="O89"/>
      <c r="P89"/>
      <c r="Q89"/>
    </row>
    <row r="90" spans="9:17" x14ac:dyDescent="0.3">
      <c r="I90"/>
      <c r="J90"/>
      <c r="K90"/>
      <c r="L90"/>
      <c r="M90"/>
      <c r="N90"/>
      <c r="O90"/>
      <c r="P90"/>
      <c r="Q90"/>
    </row>
    <row r="91" spans="9:17" x14ac:dyDescent="0.3">
      <c r="I91"/>
      <c r="J91"/>
      <c r="K91"/>
      <c r="L91"/>
      <c r="M91"/>
      <c r="N91"/>
      <c r="O91"/>
      <c r="P91"/>
      <c r="Q91"/>
    </row>
    <row r="92" spans="9:17" x14ac:dyDescent="0.3">
      <c r="I92"/>
      <c r="J92"/>
      <c r="K92"/>
      <c r="L92"/>
      <c r="M92"/>
      <c r="N92"/>
      <c r="O92"/>
      <c r="P92"/>
      <c r="Q92"/>
    </row>
    <row r="93" spans="9:17" x14ac:dyDescent="0.3">
      <c r="I93"/>
      <c r="J93"/>
      <c r="K93"/>
      <c r="L93"/>
      <c r="M93"/>
      <c r="N93"/>
      <c r="O93"/>
      <c r="P93"/>
      <c r="Q93"/>
    </row>
    <row r="94" spans="9:17" x14ac:dyDescent="0.3">
      <c r="I94"/>
      <c r="J94"/>
      <c r="K94"/>
      <c r="L94"/>
      <c r="M94"/>
      <c r="N94"/>
      <c r="O94"/>
      <c r="P94"/>
      <c r="Q94"/>
    </row>
    <row r="95" spans="9:17" x14ac:dyDescent="0.3">
      <c r="I95"/>
      <c r="J95"/>
      <c r="K95"/>
      <c r="L95"/>
      <c r="M95"/>
      <c r="N95"/>
      <c r="O95"/>
      <c r="P95"/>
      <c r="Q95"/>
    </row>
    <row r="96" spans="9:17" x14ac:dyDescent="0.3">
      <c r="I96"/>
      <c r="J96"/>
      <c r="K96"/>
      <c r="L96"/>
      <c r="M96"/>
      <c r="N96"/>
      <c r="O96"/>
      <c r="P96"/>
      <c r="Q96"/>
    </row>
    <row r="97" spans="9:17" x14ac:dyDescent="0.3">
      <c r="I97"/>
      <c r="J97"/>
      <c r="K97"/>
      <c r="L97"/>
      <c r="M97"/>
      <c r="N97"/>
      <c r="O97"/>
      <c r="P97"/>
      <c r="Q97"/>
    </row>
    <row r="98" spans="9:17" x14ac:dyDescent="0.3">
      <c r="I98"/>
      <c r="J98"/>
      <c r="K98"/>
      <c r="L98"/>
      <c r="M98"/>
      <c r="N98"/>
      <c r="O98"/>
      <c r="P98"/>
      <c r="Q98"/>
    </row>
    <row r="99" spans="9:17" x14ac:dyDescent="0.3">
      <c r="I99"/>
      <c r="J99"/>
      <c r="K99"/>
      <c r="L99"/>
      <c r="M99"/>
      <c r="N99"/>
      <c r="O99"/>
      <c r="P99"/>
      <c r="Q99"/>
    </row>
    <row r="100" spans="9:17" x14ac:dyDescent="0.3">
      <c r="I100"/>
      <c r="J100"/>
      <c r="K100"/>
      <c r="L100"/>
      <c r="M100"/>
      <c r="N100"/>
      <c r="O100"/>
      <c r="P100"/>
      <c r="Q100"/>
    </row>
    <row r="101" spans="9:17" x14ac:dyDescent="0.3">
      <c r="I101"/>
      <c r="J101"/>
      <c r="K101"/>
      <c r="L101"/>
      <c r="M101"/>
      <c r="N101"/>
      <c r="O101"/>
      <c r="P101"/>
      <c r="Q101"/>
    </row>
    <row r="102" spans="9:17" x14ac:dyDescent="0.3">
      <c r="I102"/>
      <c r="J102"/>
      <c r="K102"/>
      <c r="L102"/>
      <c r="M102"/>
      <c r="N102"/>
      <c r="O102"/>
      <c r="P102"/>
      <c r="Q102"/>
    </row>
    <row r="103" spans="9:17" x14ac:dyDescent="0.3">
      <c r="I103"/>
      <c r="J103"/>
      <c r="K103"/>
      <c r="L103"/>
      <c r="M103"/>
      <c r="N103"/>
      <c r="O103"/>
      <c r="P103"/>
      <c r="Q103"/>
    </row>
    <row r="104" spans="9:17" x14ac:dyDescent="0.3">
      <c r="I104"/>
      <c r="J104"/>
      <c r="K104"/>
      <c r="L104"/>
      <c r="M104"/>
      <c r="N104"/>
      <c r="O104"/>
      <c r="P104"/>
      <c r="Q104"/>
    </row>
    <row r="105" spans="9:17" x14ac:dyDescent="0.3">
      <c r="I105"/>
      <c r="J105"/>
      <c r="K105"/>
      <c r="L105"/>
      <c r="M105"/>
      <c r="N105"/>
      <c r="O105"/>
      <c r="P105"/>
      <c r="Q105"/>
    </row>
    <row r="106" spans="9:17" x14ac:dyDescent="0.3">
      <c r="I106"/>
      <c r="J106"/>
      <c r="K106"/>
      <c r="L106"/>
      <c r="M106"/>
      <c r="N106"/>
      <c r="O106"/>
      <c r="P106"/>
      <c r="Q106"/>
    </row>
    <row r="107" spans="9:17" x14ac:dyDescent="0.3">
      <c r="I107"/>
      <c r="J107"/>
      <c r="K107"/>
      <c r="L107"/>
      <c r="M107"/>
      <c r="N107"/>
      <c r="O107"/>
      <c r="P107"/>
      <c r="Q107"/>
    </row>
    <row r="108" spans="9:17" x14ac:dyDescent="0.3">
      <c r="I108"/>
      <c r="J108"/>
      <c r="K108"/>
      <c r="L108"/>
      <c r="M108"/>
      <c r="N108"/>
      <c r="O108"/>
      <c r="P108"/>
      <c r="Q108"/>
    </row>
    <row r="109" spans="9:17" x14ac:dyDescent="0.3">
      <c r="I109"/>
      <c r="J109"/>
      <c r="K109"/>
      <c r="L109"/>
      <c r="M109"/>
      <c r="N109"/>
      <c r="O109"/>
      <c r="P109"/>
      <c r="Q109"/>
    </row>
    <row r="110" spans="9:17" x14ac:dyDescent="0.3">
      <c r="I110"/>
      <c r="J110"/>
      <c r="K110"/>
      <c r="L110"/>
      <c r="M110"/>
      <c r="N110"/>
      <c r="O110"/>
      <c r="P110"/>
      <c r="Q110"/>
    </row>
    <row r="111" spans="9:17" x14ac:dyDescent="0.3">
      <c r="I111"/>
      <c r="J111"/>
      <c r="K111"/>
      <c r="L111"/>
      <c r="M111"/>
      <c r="N111"/>
      <c r="O111"/>
      <c r="P111"/>
      <c r="Q111"/>
    </row>
    <row r="112" spans="9:17" x14ac:dyDescent="0.3">
      <c r="I112"/>
      <c r="J112"/>
      <c r="K112"/>
      <c r="L112"/>
      <c r="M112"/>
      <c r="N112"/>
      <c r="O112"/>
      <c r="P112"/>
      <c r="Q112"/>
    </row>
    <row r="113" spans="9:17" x14ac:dyDescent="0.3">
      <c r="I113"/>
      <c r="J113"/>
      <c r="K113"/>
      <c r="L113"/>
      <c r="M113"/>
      <c r="N113"/>
      <c r="O113"/>
      <c r="P113"/>
      <c r="Q113"/>
    </row>
    <row r="114" spans="9:17" x14ac:dyDescent="0.3">
      <c r="I114"/>
      <c r="J114"/>
      <c r="K114"/>
      <c r="L114"/>
      <c r="M114"/>
      <c r="N114"/>
      <c r="O114"/>
      <c r="P114"/>
      <c r="Q114"/>
    </row>
    <row r="115" spans="9:17" x14ac:dyDescent="0.3">
      <c r="I115"/>
      <c r="J115"/>
      <c r="K115"/>
      <c r="L115"/>
      <c r="M115"/>
      <c r="N115"/>
      <c r="O115"/>
      <c r="P115"/>
      <c r="Q115"/>
    </row>
    <row r="116" spans="9:17" x14ac:dyDescent="0.3">
      <c r="I116"/>
      <c r="J116"/>
      <c r="K116"/>
      <c r="L116"/>
      <c r="M116"/>
      <c r="N116"/>
      <c r="O116"/>
      <c r="P116"/>
      <c r="Q116"/>
    </row>
    <row r="117" spans="9:17" x14ac:dyDescent="0.3">
      <c r="I117"/>
      <c r="J117"/>
      <c r="K117"/>
      <c r="L117"/>
      <c r="M117"/>
      <c r="N117"/>
      <c r="O117"/>
      <c r="P117"/>
      <c r="Q117"/>
    </row>
    <row r="118" spans="9:17" x14ac:dyDescent="0.3">
      <c r="I118"/>
      <c r="J118"/>
      <c r="K118"/>
      <c r="L118"/>
      <c r="M118"/>
      <c r="N118"/>
      <c r="O118"/>
      <c r="P118"/>
      <c r="Q118"/>
    </row>
    <row r="119" spans="9:17" x14ac:dyDescent="0.3">
      <c r="I119"/>
      <c r="J119"/>
      <c r="K119"/>
      <c r="L119"/>
      <c r="M119"/>
      <c r="N119"/>
      <c r="O119"/>
      <c r="P119"/>
      <c r="Q119"/>
    </row>
    <row r="120" spans="9:17" x14ac:dyDescent="0.3">
      <c r="I120"/>
      <c r="J120"/>
      <c r="K120"/>
      <c r="L120"/>
      <c r="M120"/>
      <c r="N120"/>
      <c r="O120"/>
      <c r="P120"/>
      <c r="Q120"/>
    </row>
    <row r="121" spans="9:17" x14ac:dyDescent="0.3">
      <c r="I121"/>
      <c r="J121"/>
      <c r="K121"/>
      <c r="L121"/>
      <c r="M121"/>
      <c r="N121"/>
      <c r="O121"/>
      <c r="P121"/>
      <c r="Q121"/>
    </row>
    <row r="122" spans="9:17" x14ac:dyDescent="0.3">
      <c r="I122"/>
      <c r="J122"/>
      <c r="K122"/>
      <c r="L122"/>
      <c r="M122"/>
      <c r="N122"/>
      <c r="O122"/>
      <c r="P122"/>
      <c r="Q122"/>
    </row>
    <row r="123" spans="9:17" x14ac:dyDescent="0.3">
      <c r="I123"/>
      <c r="J123"/>
      <c r="K123"/>
      <c r="L123"/>
      <c r="M123"/>
      <c r="N123"/>
      <c r="O123"/>
      <c r="P123"/>
      <c r="Q123"/>
    </row>
    <row r="124" spans="9:17" x14ac:dyDescent="0.3">
      <c r="I124"/>
      <c r="J124"/>
      <c r="K124"/>
      <c r="L124"/>
      <c r="M124"/>
      <c r="N124"/>
      <c r="O124"/>
      <c r="P124"/>
      <c r="Q124"/>
    </row>
    <row r="125" spans="9:17" x14ac:dyDescent="0.3">
      <c r="I125"/>
      <c r="J125"/>
      <c r="K125"/>
      <c r="L125"/>
      <c r="M125"/>
      <c r="N125"/>
      <c r="O125"/>
      <c r="P125"/>
      <c r="Q125"/>
    </row>
    <row r="126" spans="9:17" x14ac:dyDescent="0.3">
      <c r="I126"/>
      <c r="J126"/>
      <c r="K126"/>
      <c r="L126"/>
      <c r="M126"/>
      <c r="N126"/>
      <c r="O126"/>
      <c r="P126"/>
      <c r="Q126"/>
    </row>
    <row r="127" spans="9:17" x14ac:dyDescent="0.3">
      <c r="I127"/>
      <c r="J127"/>
      <c r="K127"/>
      <c r="L127"/>
      <c r="M127"/>
      <c r="N127"/>
      <c r="O127"/>
      <c r="P127"/>
      <c r="Q127"/>
    </row>
    <row r="128" spans="9:17" x14ac:dyDescent="0.3">
      <c r="I128"/>
      <c r="J128"/>
      <c r="K128"/>
      <c r="L128"/>
      <c r="M128"/>
      <c r="N128"/>
      <c r="O128"/>
      <c r="P128"/>
      <c r="Q128"/>
    </row>
    <row r="129" spans="9:17" x14ac:dyDescent="0.3">
      <c r="I129"/>
      <c r="J129"/>
      <c r="K129"/>
      <c r="L129"/>
      <c r="M129"/>
      <c r="N129"/>
      <c r="O129"/>
      <c r="P129"/>
      <c r="Q129"/>
    </row>
    <row r="130" spans="9:17" x14ac:dyDescent="0.3">
      <c r="I130"/>
      <c r="J130"/>
      <c r="K130"/>
      <c r="L130"/>
      <c r="M130"/>
      <c r="N130"/>
      <c r="O130"/>
      <c r="P130"/>
      <c r="Q130"/>
    </row>
    <row r="131" spans="9:17" x14ac:dyDescent="0.3">
      <c r="I131"/>
      <c r="J131"/>
      <c r="K131"/>
      <c r="L131"/>
      <c r="M131"/>
      <c r="N131"/>
      <c r="O131"/>
      <c r="P131"/>
      <c r="Q131"/>
    </row>
    <row r="132" spans="9:17" x14ac:dyDescent="0.3">
      <c r="I132"/>
      <c r="J132"/>
      <c r="K132"/>
      <c r="L132"/>
      <c r="M132"/>
      <c r="N132"/>
      <c r="O132"/>
      <c r="P132"/>
      <c r="Q132"/>
    </row>
    <row r="133" spans="9:17" x14ac:dyDescent="0.3">
      <c r="I133"/>
      <c r="J133"/>
      <c r="K133"/>
      <c r="L133"/>
      <c r="M133"/>
      <c r="N133"/>
      <c r="O133"/>
      <c r="P133"/>
      <c r="Q133"/>
    </row>
    <row r="134" spans="9:17" x14ac:dyDescent="0.3">
      <c r="I134"/>
      <c r="J134"/>
      <c r="K134"/>
      <c r="L134"/>
      <c r="M134"/>
      <c r="N134"/>
      <c r="O134"/>
      <c r="P134"/>
      <c r="Q134"/>
    </row>
    <row r="135" spans="9:17" x14ac:dyDescent="0.3">
      <c r="I135"/>
      <c r="J135"/>
      <c r="K135"/>
      <c r="L135"/>
      <c r="M135"/>
      <c r="N135"/>
      <c r="O135"/>
      <c r="P135"/>
      <c r="Q135"/>
    </row>
    <row r="136" spans="9:17" x14ac:dyDescent="0.3">
      <c r="I136"/>
      <c r="J136"/>
      <c r="K136"/>
      <c r="L136"/>
      <c r="M136"/>
      <c r="N136"/>
      <c r="O136"/>
      <c r="P136"/>
      <c r="Q136"/>
    </row>
    <row r="137" spans="9:17" x14ac:dyDescent="0.3">
      <c r="I137"/>
      <c r="J137"/>
      <c r="K137"/>
      <c r="L137"/>
      <c r="M137"/>
      <c r="N137"/>
      <c r="O137"/>
      <c r="P137"/>
      <c r="Q137"/>
    </row>
    <row r="138" spans="9:17" x14ac:dyDescent="0.3">
      <c r="I138"/>
      <c r="J138"/>
      <c r="K138"/>
      <c r="L138"/>
      <c r="M138"/>
      <c r="N138"/>
      <c r="O138"/>
      <c r="P138"/>
      <c r="Q138"/>
    </row>
    <row r="139" spans="9:17" x14ac:dyDescent="0.3">
      <c r="I139"/>
      <c r="J139"/>
      <c r="K139"/>
      <c r="L139"/>
      <c r="M139"/>
      <c r="N139"/>
      <c r="O139"/>
      <c r="P139"/>
      <c r="Q139"/>
    </row>
    <row r="140" spans="9:17" x14ac:dyDescent="0.3">
      <c r="I140"/>
      <c r="J140"/>
      <c r="K140"/>
      <c r="L140"/>
      <c r="M140"/>
      <c r="N140"/>
      <c r="O140"/>
      <c r="P140"/>
      <c r="Q140"/>
    </row>
    <row r="141" spans="9:17" x14ac:dyDescent="0.3">
      <c r="I141"/>
      <c r="J141"/>
      <c r="K141"/>
      <c r="L141"/>
      <c r="M141"/>
      <c r="N141"/>
      <c r="O141"/>
      <c r="P141"/>
      <c r="Q141"/>
    </row>
    <row r="142" spans="9:17" x14ac:dyDescent="0.3">
      <c r="I142"/>
      <c r="J142"/>
      <c r="K142"/>
      <c r="L142"/>
      <c r="M142"/>
      <c r="N142"/>
      <c r="O142"/>
      <c r="P142"/>
      <c r="Q142"/>
    </row>
    <row r="143" spans="9:17" x14ac:dyDescent="0.3">
      <c r="I143"/>
      <c r="J143"/>
      <c r="K143"/>
      <c r="L143"/>
      <c r="M143"/>
      <c r="N143"/>
      <c r="O143"/>
      <c r="P143"/>
      <c r="Q143"/>
    </row>
    <row r="144" spans="9:17" x14ac:dyDescent="0.3">
      <c r="I144"/>
      <c r="J144"/>
      <c r="K144"/>
      <c r="L144"/>
      <c r="M144"/>
      <c r="N144"/>
      <c r="O144"/>
      <c r="P144"/>
      <c r="Q144"/>
    </row>
    <row r="145" spans="9:17" x14ac:dyDescent="0.3">
      <c r="I145"/>
      <c r="J145"/>
      <c r="K145"/>
      <c r="L145"/>
      <c r="M145"/>
      <c r="N145"/>
      <c r="O145"/>
      <c r="P145"/>
      <c r="Q145"/>
    </row>
    <row r="146" spans="9:17" x14ac:dyDescent="0.3">
      <c r="I146"/>
      <c r="J146"/>
      <c r="K146"/>
      <c r="L146"/>
      <c r="M146"/>
      <c r="N146"/>
      <c r="O146"/>
      <c r="P146"/>
      <c r="Q146"/>
    </row>
    <row r="147" spans="9:17" x14ac:dyDescent="0.3">
      <c r="I147"/>
      <c r="J147"/>
      <c r="K147"/>
      <c r="L147"/>
      <c r="M147"/>
      <c r="N147"/>
      <c r="O147"/>
      <c r="P147"/>
      <c r="Q147"/>
    </row>
    <row r="148" spans="9:17" x14ac:dyDescent="0.3">
      <c r="I148"/>
      <c r="J148"/>
      <c r="K148"/>
      <c r="L148"/>
      <c r="M148"/>
      <c r="N148"/>
      <c r="O148"/>
      <c r="P148"/>
      <c r="Q148"/>
    </row>
    <row r="149" spans="9:17" x14ac:dyDescent="0.3">
      <c r="I149"/>
      <c r="J149"/>
      <c r="K149"/>
      <c r="L149"/>
      <c r="M149"/>
      <c r="N149"/>
      <c r="O149"/>
      <c r="P149"/>
      <c r="Q149"/>
    </row>
    <row r="150" spans="9:17" x14ac:dyDescent="0.3">
      <c r="I150"/>
      <c r="J150"/>
      <c r="K150"/>
      <c r="L150"/>
      <c r="M150"/>
      <c r="N150"/>
      <c r="O150"/>
      <c r="P150"/>
      <c r="Q150"/>
    </row>
    <row r="151" spans="9:17" x14ac:dyDescent="0.3">
      <c r="I151"/>
      <c r="J151"/>
      <c r="K151"/>
      <c r="L151"/>
      <c r="M151"/>
      <c r="N151"/>
      <c r="O151"/>
      <c r="P151"/>
      <c r="Q151"/>
    </row>
    <row r="152" spans="9:17" x14ac:dyDescent="0.3">
      <c r="I152"/>
      <c r="J152"/>
      <c r="K152"/>
      <c r="L152"/>
      <c r="M152"/>
      <c r="N152"/>
      <c r="O152"/>
      <c r="P152"/>
      <c r="Q152"/>
    </row>
    <row r="153" spans="9:17" x14ac:dyDescent="0.3">
      <c r="I153"/>
      <c r="J153"/>
      <c r="K153"/>
      <c r="L153"/>
      <c r="M153"/>
      <c r="N153"/>
      <c r="O153"/>
      <c r="P153"/>
      <c r="Q153"/>
    </row>
    <row r="154" spans="9:17" x14ac:dyDescent="0.3">
      <c r="I154"/>
      <c r="J154"/>
      <c r="K154"/>
      <c r="L154"/>
      <c r="M154"/>
      <c r="N154"/>
      <c r="O154"/>
      <c r="P154"/>
      <c r="Q154"/>
    </row>
    <row r="155" spans="9:17" x14ac:dyDescent="0.3">
      <c r="I155"/>
      <c r="J155"/>
      <c r="K155"/>
      <c r="L155"/>
      <c r="M155"/>
      <c r="N155"/>
      <c r="O155"/>
      <c r="P155"/>
      <c r="Q155"/>
    </row>
    <row r="156" spans="9:17" x14ac:dyDescent="0.3">
      <c r="I156"/>
      <c r="J156"/>
      <c r="K156"/>
      <c r="L156"/>
      <c r="M156"/>
      <c r="N156"/>
      <c r="O156"/>
      <c r="P156"/>
      <c r="Q156"/>
    </row>
    <row r="157" spans="9:17" x14ac:dyDescent="0.3">
      <c r="I157"/>
      <c r="J157"/>
      <c r="K157"/>
      <c r="L157"/>
      <c r="M157"/>
      <c r="N157"/>
      <c r="O157"/>
      <c r="P157"/>
      <c r="Q157"/>
    </row>
    <row r="158" spans="9:17" x14ac:dyDescent="0.3">
      <c r="I158"/>
      <c r="J158"/>
      <c r="K158"/>
      <c r="L158"/>
      <c r="M158"/>
      <c r="N158"/>
      <c r="O158"/>
      <c r="P158"/>
      <c r="Q158"/>
    </row>
    <row r="159" spans="9:17" x14ac:dyDescent="0.3">
      <c r="I159"/>
      <c r="J159"/>
      <c r="K159"/>
      <c r="L159"/>
      <c r="M159"/>
      <c r="N159"/>
      <c r="O159"/>
      <c r="P159"/>
      <c r="Q159"/>
    </row>
    <row r="160" spans="9:17" x14ac:dyDescent="0.3">
      <c r="I160"/>
      <c r="J160"/>
      <c r="K160"/>
      <c r="L160"/>
      <c r="M160"/>
      <c r="N160"/>
      <c r="O160"/>
      <c r="P160"/>
      <c r="Q160"/>
    </row>
    <row r="161" spans="9:17" x14ac:dyDescent="0.3">
      <c r="I161"/>
      <c r="J161"/>
      <c r="K161"/>
      <c r="L161"/>
      <c r="M161"/>
      <c r="N161"/>
      <c r="O161"/>
      <c r="P161"/>
      <c r="Q161"/>
    </row>
    <row r="162" spans="9:17" x14ac:dyDescent="0.3">
      <c r="I162"/>
      <c r="J162"/>
      <c r="K162"/>
      <c r="L162"/>
      <c r="M162"/>
      <c r="N162"/>
      <c r="O162"/>
      <c r="P162"/>
      <c r="Q162"/>
    </row>
    <row r="163" spans="9:17" x14ac:dyDescent="0.3">
      <c r="I163"/>
      <c r="J163"/>
      <c r="K163"/>
      <c r="L163"/>
      <c r="M163"/>
      <c r="N163"/>
      <c r="O163"/>
      <c r="P163"/>
      <c r="Q163"/>
    </row>
    <row r="164" spans="9:17" x14ac:dyDescent="0.3">
      <c r="I164"/>
      <c r="J164"/>
      <c r="K164"/>
      <c r="L164"/>
      <c r="M164"/>
      <c r="N164"/>
      <c r="O164"/>
      <c r="P164"/>
      <c r="Q164"/>
    </row>
    <row r="165" spans="9:17" x14ac:dyDescent="0.3">
      <c r="I165"/>
      <c r="J165"/>
      <c r="K165"/>
      <c r="L165"/>
      <c r="M165"/>
      <c r="N165"/>
      <c r="O165"/>
      <c r="P165"/>
      <c r="Q165"/>
    </row>
    <row r="166" spans="9:17" x14ac:dyDescent="0.3">
      <c r="I166"/>
      <c r="J166"/>
      <c r="K166"/>
      <c r="L166"/>
      <c r="M166"/>
      <c r="N166"/>
      <c r="O166"/>
      <c r="P166"/>
      <c r="Q166"/>
    </row>
    <row r="167" spans="9:17" x14ac:dyDescent="0.3">
      <c r="I167"/>
      <c r="J167"/>
      <c r="K167"/>
      <c r="L167"/>
      <c r="M167"/>
      <c r="N167"/>
      <c r="O167"/>
      <c r="P167"/>
      <c r="Q167"/>
    </row>
    <row r="168" spans="9:17" x14ac:dyDescent="0.3">
      <c r="I168"/>
      <c r="J168"/>
      <c r="K168"/>
      <c r="L168"/>
      <c r="M168"/>
      <c r="N168"/>
      <c r="O168"/>
      <c r="P168"/>
      <c r="Q168"/>
    </row>
    <row r="169" spans="9:17" x14ac:dyDescent="0.3">
      <c r="I169"/>
      <c r="J169"/>
      <c r="K169"/>
      <c r="L169"/>
      <c r="M169"/>
      <c r="N169"/>
      <c r="O169"/>
      <c r="P169"/>
      <c r="Q169"/>
    </row>
    <row r="170" spans="9:17" x14ac:dyDescent="0.3">
      <c r="I170"/>
      <c r="J170"/>
      <c r="K170"/>
      <c r="L170"/>
      <c r="M170"/>
      <c r="N170"/>
      <c r="O170"/>
      <c r="P170"/>
      <c r="Q170"/>
    </row>
    <row r="171" spans="9:17" x14ac:dyDescent="0.3">
      <c r="I171"/>
      <c r="J171"/>
      <c r="K171"/>
      <c r="L171"/>
      <c r="M171"/>
      <c r="N171"/>
      <c r="O171"/>
      <c r="P171"/>
      <c r="Q171"/>
    </row>
    <row r="172" spans="9:17" x14ac:dyDescent="0.3">
      <c r="I172"/>
      <c r="J172"/>
      <c r="K172"/>
      <c r="L172"/>
      <c r="M172"/>
      <c r="N172"/>
      <c r="O172"/>
      <c r="P172"/>
      <c r="Q172"/>
    </row>
    <row r="173" spans="9:17" x14ac:dyDescent="0.3">
      <c r="I173"/>
      <c r="J173"/>
      <c r="K173"/>
      <c r="L173"/>
      <c r="M173"/>
      <c r="N173"/>
      <c r="O173"/>
      <c r="P173"/>
      <c r="Q173"/>
    </row>
    <row r="174" spans="9:17" x14ac:dyDescent="0.3">
      <c r="I174"/>
      <c r="J174"/>
      <c r="K174"/>
      <c r="L174"/>
      <c r="M174"/>
      <c r="N174"/>
      <c r="O174"/>
      <c r="P174"/>
      <c r="Q174"/>
    </row>
    <row r="175" spans="9:17" x14ac:dyDescent="0.3">
      <c r="I175"/>
      <c r="J175"/>
      <c r="K175"/>
      <c r="L175"/>
      <c r="M175"/>
      <c r="N175"/>
      <c r="O175"/>
      <c r="P175"/>
      <c r="Q175"/>
    </row>
    <row r="176" spans="9:17" x14ac:dyDescent="0.3">
      <c r="I176"/>
      <c r="J176"/>
      <c r="K176"/>
      <c r="L176"/>
      <c r="M176"/>
      <c r="N176"/>
      <c r="O176"/>
      <c r="P176"/>
      <c r="Q176"/>
    </row>
    <row r="177" spans="9:17" x14ac:dyDescent="0.3">
      <c r="I177"/>
      <c r="J177"/>
      <c r="K177"/>
      <c r="L177"/>
      <c r="M177"/>
      <c r="N177"/>
      <c r="O177"/>
      <c r="P177"/>
      <c r="Q177"/>
    </row>
    <row r="178" spans="9:17" x14ac:dyDescent="0.3">
      <c r="I178"/>
      <c r="J178"/>
      <c r="K178"/>
      <c r="L178"/>
      <c r="M178"/>
      <c r="N178"/>
      <c r="O178"/>
      <c r="P178"/>
      <c r="Q178"/>
    </row>
    <row r="179" spans="9:17" x14ac:dyDescent="0.3">
      <c r="I179"/>
      <c r="J179"/>
      <c r="K179"/>
      <c r="L179"/>
      <c r="M179"/>
      <c r="N179"/>
      <c r="O179"/>
      <c r="P179"/>
      <c r="Q179"/>
    </row>
    <row r="180" spans="9:17" x14ac:dyDescent="0.3">
      <c r="I180"/>
      <c r="J180"/>
      <c r="K180"/>
      <c r="L180"/>
      <c r="M180"/>
      <c r="N180"/>
      <c r="O180"/>
      <c r="P180"/>
      <c r="Q180"/>
    </row>
    <row r="181" spans="9:17" x14ac:dyDescent="0.3">
      <c r="I181"/>
      <c r="J181"/>
      <c r="K181"/>
      <c r="L181"/>
      <c r="M181"/>
      <c r="N181"/>
      <c r="O181"/>
      <c r="P181"/>
      <c r="Q181"/>
    </row>
    <row r="182" spans="9:17" x14ac:dyDescent="0.3">
      <c r="I182"/>
      <c r="J182"/>
      <c r="K182"/>
      <c r="L182"/>
      <c r="M182"/>
      <c r="N182"/>
      <c r="O182"/>
      <c r="P182"/>
      <c r="Q182"/>
    </row>
    <row r="183" spans="9:17" x14ac:dyDescent="0.3">
      <c r="I183"/>
      <c r="J183"/>
      <c r="K183"/>
      <c r="L183"/>
      <c r="M183"/>
      <c r="N183"/>
      <c r="O183"/>
      <c r="P183"/>
      <c r="Q183"/>
    </row>
    <row r="184" spans="9:17" x14ac:dyDescent="0.3">
      <c r="I184"/>
      <c r="J184"/>
      <c r="K184"/>
      <c r="L184"/>
      <c r="M184"/>
      <c r="N184"/>
      <c r="O184"/>
      <c r="P184"/>
      <c r="Q184"/>
    </row>
    <row r="185" spans="9:17" x14ac:dyDescent="0.3">
      <c r="I185"/>
      <c r="J185"/>
      <c r="K185"/>
      <c r="L185"/>
      <c r="M185"/>
      <c r="N185"/>
      <c r="O185"/>
      <c r="P185"/>
      <c r="Q185"/>
    </row>
    <row r="186" spans="9:17" x14ac:dyDescent="0.3">
      <c r="I186"/>
      <c r="J186"/>
      <c r="K186"/>
      <c r="L186"/>
      <c r="M186"/>
      <c r="N186"/>
      <c r="O186"/>
      <c r="P186"/>
      <c r="Q186"/>
    </row>
    <row r="187" spans="9:17" x14ac:dyDescent="0.3">
      <c r="I187"/>
      <c r="J187"/>
      <c r="K187"/>
      <c r="L187"/>
      <c r="M187"/>
      <c r="N187"/>
      <c r="O187"/>
      <c r="P187"/>
      <c r="Q187"/>
    </row>
    <row r="188" spans="9:17" x14ac:dyDescent="0.3">
      <c r="I188"/>
      <c r="J188"/>
      <c r="K188"/>
      <c r="L188"/>
      <c r="M188"/>
      <c r="N188"/>
      <c r="O188"/>
      <c r="P188"/>
      <c r="Q188"/>
    </row>
    <row r="189" spans="9:17" x14ac:dyDescent="0.3">
      <c r="I189"/>
      <c r="J189"/>
      <c r="K189"/>
      <c r="L189"/>
      <c r="M189"/>
      <c r="N189"/>
      <c r="O189"/>
      <c r="P189"/>
      <c r="Q189"/>
    </row>
    <row r="190" spans="9:17" x14ac:dyDescent="0.3">
      <c r="I190"/>
      <c r="J190"/>
      <c r="K190"/>
      <c r="L190"/>
      <c r="M190"/>
      <c r="N190"/>
      <c r="O190"/>
      <c r="P190"/>
      <c r="Q190"/>
    </row>
    <row r="191" spans="9:17" x14ac:dyDescent="0.3">
      <c r="I191"/>
      <c r="J191"/>
      <c r="K191"/>
      <c r="L191"/>
      <c r="M191"/>
      <c r="N191"/>
      <c r="O191"/>
      <c r="P191"/>
      <c r="Q191"/>
    </row>
    <row r="192" spans="9:17" x14ac:dyDescent="0.3">
      <c r="I192"/>
      <c r="J192"/>
      <c r="K192"/>
      <c r="L192"/>
      <c r="M192"/>
      <c r="N192"/>
      <c r="O192"/>
      <c r="P192"/>
      <c r="Q192"/>
    </row>
    <row r="193" spans="9:17" x14ac:dyDescent="0.3">
      <c r="I193"/>
      <c r="J193"/>
      <c r="K193"/>
      <c r="L193"/>
      <c r="M193"/>
      <c r="N193"/>
      <c r="O193"/>
      <c r="P193"/>
      <c r="Q193"/>
    </row>
    <row r="194" spans="9:17" x14ac:dyDescent="0.3">
      <c r="I194"/>
      <c r="J194"/>
      <c r="K194"/>
      <c r="L194"/>
      <c r="M194"/>
      <c r="N194"/>
      <c r="O194"/>
      <c r="P194"/>
      <c r="Q194"/>
    </row>
    <row r="195" spans="9:17" x14ac:dyDescent="0.3">
      <c r="I195"/>
      <c r="J195"/>
      <c r="K195"/>
      <c r="L195"/>
      <c r="M195"/>
      <c r="N195"/>
      <c r="O195"/>
      <c r="P195"/>
      <c r="Q195"/>
    </row>
    <row r="196" spans="9:17" x14ac:dyDescent="0.3">
      <c r="I196"/>
      <c r="J196"/>
      <c r="K196"/>
      <c r="L196"/>
      <c r="M196"/>
      <c r="N196"/>
      <c r="O196"/>
      <c r="P196"/>
      <c r="Q196"/>
    </row>
    <row r="197" spans="9:17" x14ac:dyDescent="0.3">
      <c r="I197"/>
      <c r="J197"/>
      <c r="K197"/>
      <c r="L197"/>
      <c r="M197"/>
      <c r="N197"/>
      <c r="O197"/>
      <c r="P197"/>
      <c r="Q197"/>
    </row>
    <row r="198" spans="9:17" x14ac:dyDescent="0.3">
      <c r="I198"/>
      <c r="J198"/>
      <c r="K198"/>
      <c r="L198"/>
      <c r="M198"/>
      <c r="N198"/>
      <c r="O198"/>
      <c r="P198"/>
      <c r="Q198"/>
    </row>
    <row r="199" spans="9:17" x14ac:dyDescent="0.3">
      <c r="I199"/>
      <c r="J199"/>
      <c r="K199"/>
      <c r="L199"/>
      <c r="M199"/>
      <c r="N199"/>
      <c r="O199"/>
      <c r="P199"/>
      <c r="Q199"/>
    </row>
    <row r="200" spans="9:17" x14ac:dyDescent="0.3">
      <c r="I200"/>
      <c r="J200"/>
      <c r="K200"/>
      <c r="L200"/>
      <c r="M200"/>
      <c r="N200"/>
      <c r="O200"/>
      <c r="P200"/>
      <c r="Q200"/>
    </row>
    <row r="201" spans="9:17" x14ac:dyDescent="0.3">
      <c r="I201"/>
      <c r="J201"/>
      <c r="K201"/>
      <c r="L201"/>
      <c r="M201"/>
      <c r="N201"/>
      <c r="O201"/>
      <c r="P201"/>
      <c r="Q201"/>
    </row>
    <row r="202" spans="9:17" x14ac:dyDescent="0.3">
      <c r="I202"/>
      <c r="J202"/>
      <c r="K202"/>
      <c r="L202"/>
      <c r="M202"/>
      <c r="N202"/>
      <c r="O202"/>
      <c r="P202"/>
      <c r="Q202"/>
    </row>
    <row r="203" spans="9:17" x14ac:dyDescent="0.3">
      <c r="I203"/>
      <c r="J203"/>
      <c r="K203"/>
      <c r="L203"/>
      <c r="M203"/>
      <c r="N203"/>
      <c r="O203"/>
      <c r="P203"/>
      <c r="Q203"/>
    </row>
    <row r="204" spans="9:17" x14ac:dyDescent="0.3">
      <c r="I204"/>
      <c r="J204"/>
      <c r="K204"/>
      <c r="L204"/>
      <c r="M204"/>
      <c r="N204"/>
      <c r="O204"/>
      <c r="P204"/>
      <c r="Q204"/>
    </row>
    <row r="205" spans="9:17" x14ac:dyDescent="0.3">
      <c r="I205"/>
      <c r="J205"/>
      <c r="K205"/>
      <c r="L205"/>
      <c r="M205"/>
      <c r="N205"/>
      <c r="O205"/>
      <c r="P205"/>
      <c r="Q205"/>
    </row>
    <row r="206" spans="9:17" x14ac:dyDescent="0.3">
      <c r="I206"/>
      <c r="J206"/>
      <c r="K206"/>
      <c r="L206"/>
      <c r="M206"/>
      <c r="N206"/>
      <c r="O206"/>
      <c r="P206"/>
      <c r="Q206"/>
    </row>
    <row r="207" spans="9:17" x14ac:dyDescent="0.3">
      <c r="I207"/>
      <c r="J207"/>
      <c r="K207"/>
      <c r="L207"/>
      <c r="M207"/>
      <c r="N207"/>
      <c r="O207"/>
      <c r="P207"/>
      <c r="Q207"/>
    </row>
    <row r="208" spans="9:17" x14ac:dyDescent="0.3">
      <c r="I208"/>
      <c r="J208"/>
      <c r="K208"/>
      <c r="L208"/>
      <c r="M208"/>
      <c r="N208"/>
      <c r="O208"/>
      <c r="P208"/>
      <c r="Q208"/>
    </row>
    <row r="209" spans="9:17" x14ac:dyDescent="0.3">
      <c r="I209"/>
      <c r="J209"/>
      <c r="K209"/>
      <c r="L209"/>
      <c r="M209"/>
      <c r="N209"/>
      <c r="O209"/>
      <c r="P209"/>
      <c r="Q209"/>
    </row>
    <row r="210" spans="9:17" x14ac:dyDescent="0.3">
      <c r="I210"/>
      <c r="J210"/>
      <c r="K210"/>
      <c r="L210"/>
      <c r="M210"/>
      <c r="N210"/>
      <c r="O210"/>
      <c r="P210"/>
      <c r="Q210"/>
    </row>
    <row r="211" spans="9:17" x14ac:dyDescent="0.3">
      <c r="I211"/>
      <c r="J211"/>
      <c r="K211"/>
      <c r="L211"/>
      <c r="M211"/>
      <c r="N211"/>
      <c r="O211"/>
      <c r="P211"/>
      <c r="Q211"/>
    </row>
    <row r="212" spans="9:17" x14ac:dyDescent="0.3">
      <c r="I212"/>
      <c r="J212"/>
      <c r="K212"/>
      <c r="L212"/>
      <c r="M212"/>
      <c r="N212"/>
      <c r="O212"/>
      <c r="P212"/>
      <c r="Q212"/>
    </row>
    <row r="213" spans="9:17" x14ac:dyDescent="0.3">
      <c r="I213"/>
      <c r="J213"/>
      <c r="K213"/>
      <c r="L213"/>
      <c r="M213"/>
      <c r="N213"/>
      <c r="O213"/>
      <c r="P213"/>
      <c r="Q213"/>
    </row>
    <row r="214" spans="9:17" x14ac:dyDescent="0.3">
      <c r="I214"/>
      <c r="J214"/>
      <c r="K214"/>
      <c r="L214"/>
      <c r="M214"/>
      <c r="N214"/>
      <c r="O214"/>
      <c r="P214"/>
      <c r="Q214"/>
    </row>
    <row r="215" spans="9:17" x14ac:dyDescent="0.3">
      <c r="I215"/>
      <c r="J215"/>
      <c r="K215"/>
      <c r="L215"/>
      <c r="M215"/>
      <c r="N215"/>
      <c r="O215"/>
      <c r="P215"/>
      <c r="Q215"/>
    </row>
    <row r="216" spans="9:17" x14ac:dyDescent="0.3">
      <c r="I216"/>
      <c r="J216"/>
      <c r="K216"/>
      <c r="L216"/>
      <c r="M216"/>
      <c r="N216"/>
      <c r="O216"/>
      <c r="P216"/>
      <c r="Q216"/>
    </row>
    <row r="217" spans="9:17" x14ac:dyDescent="0.3">
      <c r="I217"/>
      <c r="J217"/>
      <c r="K217"/>
      <c r="L217"/>
      <c r="M217"/>
      <c r="N217"/>
      <c r="O217"/>
      <c r="P217"/>
      <c r="Q217"/>
    </row>
    <row r="218" spans="9:17" x14ac:dyDescent="0.3">
      <c r="I218"/>
      <c r="J218"/>
      <c r="K218"/>
      <c r="L218"/>
      <c r="M218"/>
      <c r="N218"/>
      <c r="O218"/>
      <c r="P218"/>
      <c r="Q218"/>
    </row>
    <row r="219" spans="9:17" x14ac:dyDescent="0.3">
      <c r="I219"/>
      <c r="J219"/>
      <c r="K219"/>
      <c r="L219"/>
      <c r="M219"/>
      <c r="N219"/>
      <c r="O219"/>
      <c r="P219"/>
      <c r="Q219"/>
    </row>
    <row r="220" spans="9:17" x14ac:dyDescent="0.3">
      <c r="I220"/>
      <c r="J220"/>
      <c r="K220"/>
      <c r="L220"/>
      <c r="M220"/>
      <c r="N220"/>
      <c r="O220"/>
      <c r="P220"/>
      <c r="Q220"/>
    </row>
    <row r="221" spans="9:17" x14ac:dyDescent="0.3">
      <c r="I221"/>
      <c r="J221"/>
      <c r="K221"/>
      <c r="L221"/>
      <c r="M221"/>
      <c r="N221"/>
      <c r="O221"/>
      <c r="P221"/>
      <c r="Q221"/>
    </row>
    <row r="222" spans="9:17" x14ac:dyDescent="0.3">
      <c r="I222"/>
      <c r="J222"/>
      <c r="K222"/>
      <c r="L222"/>
      <c r="M222"/>
      <c r="N222"/>
      <c r="O222"/>
      <c r="P222"/>
      <c r="Q222"/>
    </row>
    <row r="223" spans="9:17" x14ac:dyDescent="0.3">
      <c r="I223"/>
      <c r="J223"/>
      <c r="K223"/>
      <c r="L223"/>
      <c r="M223"/>
      <c r="N223"/>
      <c r="O223"/>
      <c r="P223"/>
      <c r="Q223"/>
    </row>
    <row r="224" spans="9:17" x14ac:dyDescent="0.3">
      <c r="I224"/>
      <c r="J224"/>
      <c r="K224"/>
      <c r="L224"/>
      <c r="M224"/>
      <c r="N224"/>
      <c r="O224"/>
      <c r="P224"/>
      <c r="Q224"/>
    </row>
    <row r="225" spans="9:17" x14ac:dyDescent="0.3">
      <c r="I225"/>
      <c r="J225"/>
      <c r="K225"/>
      <c r="L225"/>
      <c r="M225"/>
      <c r="N225"/>
      <c r="O225"/>
      <c r="P225"/>
      <c r="Q225"/>
    </row>
    <row r="226" spans="9:17" x14ac:dyDescent="0.3">
      <c r="I226"/>
      <c r="J226"/>
      <c r="K226"/>
      <c r="L226"/>
      <c r="M226"/>
      <c r="N226"/>
      <c r="O226"/>
      <c r="P226"/>
      <c r="Q226"/>
    </row>
    <row r="227" spans="9:17" x14ac:dyDescent="0.3">
      <c r="I227"/>
      <c r="J227"/>
      <c r="K227"/>
      <c r="L227"/>
      <c r="M227"/>
      <c r="N227"/>
      <c r="O227"/>
      <c r="P227"/>
      <c r="Q227"/>
    </row>
    <row r="228" spans="9:17" x14ac:dyDescent="0.3">
      <c r="I228"/>
      <c r="J228"/>
      <c r="K228"/>
      <c r="L228"/>
      <c r="M228"/>
      <c r="N228"/>
      <c r="O228"/>
      <c r="P228"/>
      <c r="Q228"/>
    </row>
    <row r="229" spans="9:17" x14ac:dyDescent="0.3">
      <c r="I229"/>
      <c r="J229"/>
      <c r="K229"/>
      <c r="L229"/>
      <c r="M229"/>
      <c r="N229"/>
      <c r="O229"/>
      <c r="P229"/>
      <c r="Q229"/>
    </row>
    <row r="230" spans="9:17" x14ac:dyDescent="0.3">
      <c r="I230"/>
      <c r="J230"/>
      <c r="K230"/>
      <c r="L230"/>
      <c r="M230"/>
      <c r="N230"/>
      <c r="O230"/>
      <c r="P230"/>
      <c r="Q230"/>
    </row>
    <row r="231" spans="9:17" x14ac:dyDescent="0.3">
      <c r="I231"/>
      <c r="J231"/>
      <c r="K231"/>
      <c r="L231"/>
      <c r="M231"/>
      <c r="N231"/>
      <c r="O231"/>
      <c r="P231"/>
      <c r="Q231"/>
    </row>
    <row r="232" spans="9:17" x14ac:dyDescent="0.3">
      <c r="I232"/>
      <c r="J232"/>
      <c r="K232"/>
      <c r="L232"/>
      <c r="M232"/>
      <c r="N232"/>
      <c r="O232"/>
      <c r="P232"/>
      <c r="Q232"/>
    </row>
    <row r="233" spans="9:17" x14ac:dyDescent="0.3">
      <c r="I233"/>
      <c r="J233"/>
      <c r="K233"/>
      <c r="L233"/>
      <c r="M233"/>
      <c r="N233"/>
      <c r="O233"/>
      <c r="P233"/>
      <c r="Q233"/>
    </row>
    <row r="234" spans="9:17" x14ac:dyDescent="0.3">
      <c r="I234"/>
      <c r="J234"/>
      <c r="K234"/>
      <c r="L234"/>
      <c r="M234"/>
      <c r="N234"/>
      <c r="O234"/>
      <c r="P234"/>
      <c r="Q234"/>
    </row>
    <row r="235" spans="9:17" x14ac:dyDescent="0.3">
      <c r="I235"/>
      <c r="J235"/>
      <c r="K235"/>
      <c r="L235"/>
      <c r="M235"/>
      <c r="N235"/>
      <c r="O235"/>
      <c r="P235"/>
      <c r="Q235"/>
    </row>
    <row r="236" spans="9:17" x14ac:dyDescent="0.3">
      <c r="I236"/>
      <c r="J236"/>
      <c r="K236"/>
      <c r="L236"/>
      <c r="M236"/>
      <c r="N236"/>
      <c r="O236"/>
      <c r="P236"/>
      <c r="Q236"/>
    </row>
    <row r="237" spans="9:17" x14ac:dyDescent="0.3">
      <c r="I237"/>
      <c r="J237"/>
      <c r="K237"/>
      <c r="L237"/>
      <c r="M237"/>
      <c r="N237"/>
      <c r="O237"/>
      <c r="P237"/>
      <c r="Q237"/>
    </row>
    <row r="238" spans="9:17" x14ac:dyDescent="0.3">
      <c r="I238"/>
      <c r="J238"/>
      <c r="K238"/>
      <c r="L238"/>
      <c r="M238"/>
      <c r="N238"/>
      <c r="O238"/>
      <c r="P238"/>
      <c r="Q238"/>
    </row>
    <row r="239" spans="9:17" x14ac:dyDescent="0.3">
      <c r="I239"/>
      <c r="J239"/>
      <c r="K239"/>
      <c r="L239"/>
      <c r="M239"/>
      <c r="N239"/>
      <c r="O239"/>
      <c r="P239"/>
      <c r="Q239"/>
    </row>
    <row r="240" spans="9:17" x14ac:dyDescent="0.3">
      <c r="I240"/>
      <c r="J240"/>
      <c r="K240"/>
      <c r="L240"/>
      <c r="M240"/>
      <c r="N240"/>
      <c r="O240"/>
      <c r="P240"/>
      <c r="Q240"/>
    </row>
    <row r="241" spans="9:17" x14ac:dyDescent="0.3">
      <c r="I241"/>
      <c r="J241"/>
      <c r="K241"/>
      <c r="L241"/>
      <c r="M241"/>
      <c r="N241"/>
      <c r="O241"/>
      <c r="P241"/>
      <c r="Q241"/>
    </row>
    <row r="242" spans="9:17" x14ac:dyDescent="0.3">
      <c r="I242"/>
      <c r="J242"/>
      <c r="K242"/>
      <c r="L242"/>
      <c r="M242"/>
      <c r="N242"/>
      <c r="O242"/>
      <c r="P242"/>
      <c r="Q242"/>
    </row>
    <row r="243" spans="9:17" x14ac:dyDescent="0.3">
      <c r="I243"/>
      <c r="J243"/>
      <c r="K243"/>
      <c r="L243"/>
      <c r="M243"/>
      <c r="N243"/>
      <c r="O243"/>
      <c r="P243"/>
      <c r="Q243"/>
    </row>
    <row r="244" spans="9:17" x14ac:dyDescent="0.3">
      <c r="I244"/>
      <c r="J244"/>
      <c r="K244"/>
      <c r="L244"/>
      <c r="M244"/>
      <c r="N244"/>
      <c r="O244"/>
      <c r="P244"/>
      <c r="Q244"/>
    </row>
    <row r="245" spans="9:17" x14ac:dyDescent="0.3">
      <c r="I245"/>
      <c r="J245"/>
      <c r="K245"/>
      <c r="L245"/>
      <c r="M245"/>
      <c r="N245"/>
      <c r="O245"/>
      <c r="P245"/>
      <c r="Q245"/>
    </row>
    <row r="246" spans="9:17" x14ac:dyDescent="0.3">
      <c r="I246"/>
      <c r="J246"/>
      <c r="K246"/>
      <c r="L246"/>
      <c r="M246"/>
      <c r="N246"/>
      <c r="O246"/>
      <c r="P246"/>
      <c r="Q246"/>
    </row>
    <row r="247" spans="9:17" x14ac:dyDescent="0.3">
      <c r="I247"/>
      <c r="J247"/>
      <c r="K247"/>
      <c r="L247"/>
      <c r="M247"/>
      <c r="N247"/>
      <c r="O247"/>
      <c r="P247"/>
      <c r="Q247"/>
    </row>
    <row r="248" spans="9:17" x14ac:dyDescent="0.3">
      <c r="I248"/>
      <c r="J248"/>
      <c r="K248"/>
      <c r="L248"/>
      <c r="M248"/>
      <c r="N248"/>
      <c r="O248"/>
      <c r="P248"/>
      <c r="Q248"/>
    </row>
    <row r="249" spans="9:17" x14ac:dyDescent="0.3">
      <c r="I249"/>
      <c r="J249"/>
      <c r="K249"/>
      <c r="L249"/>
      <c r="M249"/>
      <c r="N249"/>
      <c r="O249"/>
      <c r="P249"/>
      <c r="Q249"/>
    </row>
    <row r="250" spans="9:17" x14ac:dyDescent="0.3">
      <c r="I250"/>
      <c r="J250"/>
      <c r="K250"/>
      <c r="L250"/>
      <c r="M250"/>
      <c r="N250"/>
      <c r="O250"/>
      <c r="P250"/>
      <c r="Q250"/>
    </row>
    <row r="251" spans="9:17" x14ac:dyDescent="0.3">
      <c r="I251"/>
      <c r="J251"/>
      <c r="K251"/>
      <c r="L251"/>
      <c r="M251"/>
      <c r="N251"/>
      <c r="O251"/>
      <c r="P251"/>
      <c r="Q251"/>
    </row>
    <row r="252" spans="9:17" x14ac:dyDescent="0.3">
      <c r="I252"/>
      <c r="J252"/>
      <c r="K252"/>
      <c r="L252"/>
      <c r="M252"/>
      <c r="N252"/>
      <c r="O252"/>
      <c r="P252"/>
      <c r="Q252"/>
    </row>
    <row r="253" spans="9:17" x14ac:dyDescent="0.3">
      <c r="I253"/>
      <c r="J253"/>
      <c r="K253"/>
      <c r="L253"/>
      <c r="M253"/>
      <c r="N253"/>
      <c r="O253"/>
      <c r="P253"/>
      <c r="Q253"/>
    </row>
    <row r="254" spans="9:17" x14ac:dyDescent="0.3">
      <c r="I254"/>
      <c r="J254"/>
      <c r="K254"/>
      <c r="L254"/>
      <c r="M254"/>
      <c r="N254"/>
      <c r="O254"/>
      <c r="P254"/>
      <c r="Q254"/>
    </row>
    <row r="255" spans="9:17" x14ac:dyDescent="0.3">
      <c r="I255"/>
      <c r="J255"/>
      <c r="K255"/>
      <c r="L255"/>
      <c r="M255"/>
      <c r="N255"/>
      <c r="O255"/>
      <c r="P255"/>
      <c r="Q255"/>
    </row>
    <row r="256" spans="9:17" x14ac:dyDescent="0.3">
      <c r="I256"/>
      <c r="J256"/>
      <c r="K256"/>
      <c r="L256"/>
      <c r="M256"/>
      <c r="N256"/>
      <c r="O256"/>
      <c r="P256"/>
      <c r="Q256"/>
    </row>
    <row r="257" spans="9:17" x14ac:dyDescent="0.3">
      <c r="I257"/>
      <c r="J257"/>
      <c r="K257"/>
      <c r="L257"/>
      <c r="M257"/>
      <c r="N257"/>
      <c r="O257"/>
      <c r="P257"/>
      <c r="Q257"/>
    </row>
    <row r="258" spans="9:17" x14ac:dyDescent="0.3">
      <c r="I258"/>
      <c r="J258"/>
      <c r="K258"/>
      <c r="L258"/>
      <c r="M258"/>
      <c r="N258"/>
      <c r="O258"/>
      <c r="P258"/>
      <c r="Q258"/>
    </row>
    <row r="259" spans="9:17" x14ac:dyDescent="0.3">
      <c r="I259"/>
      <c r="J259"/>
      <c r="K259"/>
      <c r="L259"/>
      <c r="M259"/>
      <c r="N259"/>
      <c r="O259"/>
      <c r="P259"/>
      <c r="Q259"/>
    </row>
    <row r="260" spans="9:17" x14ac:dyDescent="0.3">
      <c r="I260"/>
      <c r="J260"/>
      <c r="K260"/>
      <c r="L260"/>
      <c r="M260"/>
      <c r="N260"/>
      <c r="O260"/>
      <c r="P260"/>
      <c r="Q260"/>
    </row>
    <row r="261" spans="9:17" x14ac:dyDescent="0.3">
      <c r="I261"/>
      <c r="J261"/>
      <c r="K261"/>
      <c r="L261"/>
      <c r="M261"/>
      <c r="N261"/>
      <c r="O261"/>
      <c r="P261"/>
      <c r="Q261"/>
    </row>
    <row r="262" spans="9:17" x14ac:dyDescent="0.3">
      <c r="I262"/>
      <c r="J262"/>
      <c r="K262"/>
      <c r="L262"/>
      <c r="M262"/>
      <c r="N262"/>
      <c r="O262"/>
      <c r="P262"/>
      <c r="Q262"/>
    </row>
    <row r="263" spans="9:17" x14ac:dyDescent="0.3">
      <c r="I263"/>
      <c r="J263"/>
      <c r="K263"/>
      <c r="L263"/>
      <c r="M263"/>
      <c r="N263"/>
      <c r="O263"/>
      <c r="P263"/>
      <c r="Q263"/>
    </row>
    <row r="264" spans="9:17" x14ac:dyDescent="0.3">
      <c r="I264"/>
      <c r="J264"/>
      <c r="K264"/>
      <c r="L264"/>
      <c r="M264"/>
      <c r="N264"/>
      <c r="O264"/>
      <c r="P264"/>
      <c r="Q264"/>
    </row>
    <row r="265" spans="9:17" x14ac:dyDescent="0.3">
      <c r="I265"/>
      <c r="J265"/>
      <c r="K265"/>
      <c r="L265"/>
      <c r="M265"/>
      <c r="N265"/>
      <c r="O265"/>
      <c r="P265"/>
      <c r="Q265"/>
    </row>
    <row r="266" spans="9:17" x14ac:dyDescent="0.3">
      <c r="I266"/>
      <c r="J266"/>
      <c r="K266"/>
      <c r="L266"/>
      <c r="M266"/>
      <c r="N266"/>
      <c r="O266"/>
      <c r="P266"/>
      <c r="Q266"/>
    </row>
    <row r="267" spans="9:17" x14ac:dyDescent="0.3">
      <c r="I267"/>
      <c r="J267"/>
      <c r="K267"/>
      <c r="L267"/>
      <c r="M267"/>
      <c r="N267"/>
      <c r="O267"/>
      <c r="P267"/>
      <c r="Q267"/>
    </row>
    <row r="268" spans="9:17" x14ac:dyDescent="0.3">
      <c r="I268"/>
      <c r="J268"/>
      <c r="K268"/>
      <c r="L268"/>
      <c r="M268"/>
      <c r="N268"/>
      <c r="O268"/>
      <c r="P268"/>
      <c r="Q268"/>
    </row>
    <row r="269" spans="9:17" x14ac:dyDescent="0.3">
      <c r="I269"/>
      <c r="J269"/>
      <c r="K269"/>
      <c r="L269"/>
      <c r="M269"/>
      <c r="N269"/>
      <c r="O269"/>
      <c r="P269"/>
      <c r="Q269"/>
    </row>
    <row r="270" spans="9:17" x14ac:dyDescent="0.3">
      <c r="I270"/>
      <c r="J270"/>
      <c r="K270"/>
      <c r="L270"/>
      <c r="M270"/>
      <c r="N270"/>
      <c r="O270"/>
      <c r="P270"/>
      <c r="Q270"/>
    </row>
    <row r="271" spans="9:17" x14ac:dyDescent="0.3">
      <c r="I271"/>
      <c r="J271"/>
      <c r="K271"/>
      <c r="L271"/>
      <c r="M271"/>
      <c r="N271"/>
      <c r="O271"/>
      <c r="P271"/>
      <c r="Q271"/>
    </row>
    <row r="272" spans="9:17" x14ac:dyDescent="0.3">
      <c r="I272"/>
      <c r="J272"/>
      <c r="K272"/>
      <c r="L272"/>
      <c r="M272"/>
      <c r="N272"/>
      <c r="O272"/>
      <c r="P272"/>
      <c r="Q272"/>
    </row>
    <row r="273" spans="9:17" x14ac:dyDescent="0.3">
      <c r="I273"/>
      <c r="J273"/>
      <c r="K273"/>
      <c r="L273"/>
      <c r="M273"/>
      <c r="N273"/>
      <c r="O273"/>
      <c r="P273"/>
      <c r="Q273"/>
    </row>
    <row r="274" spans="9:17" x14ac:dyDescent="0.3">
      <c r="I274"/>
      <c r="J274"/>
      <c r="K274"/>
      <c r="L274"/>
      <c r="M274"/>
      <c r="N274"/>
      <c r="O274"/>
      <c r="P274"/>
      <c r="Q274"/>
    </row>
    <row r="275" spans="9:17" x14ac:dyDescent="0.3">
      <c r="I275"/>
      <c r="J275"/>
      <c r="K275"/>
      <c r="L275"/>
      <c r="M275"/>
      <c r="N275"/>
      <c r="O275"/>
      <c r="P275"/>
      <c r="Q275"/>
    </row>
    <row r="276" spans="9:17" x14ac:dyDescent="0.3">
      <c r="I276"/>
      <c r="J276"/>
      <c r="K276"/>
      <c r="L276"/>
      <c r="M276"/>
      <c r="N276"/>
      <c r="O276"/>
      <c r="P276"/>
      <c r="Q276"/>
    </row>
    <row r="277" spans="9:17" x14ac:dyDescent="0.3">
      <c r="I277"/>
      <c r="J277"/>
      <c r="K277"/>
      <c r="L277"/>
      <c r="M277"/>
      <c r="N277"/>
      <c r="O277"/>
      <c r="P277"/>
      <c r="Q277"/>
    </row>
    <row r="278" spans="9:17" x14ac:dyDescent="0.3">
      <c r="I278"/>
      <c r="J278"/>
      <c r="K278"/>
      <c r="L278"/>
      <c r="M278"/>
      <c r="N278"/>
      <c r="O278"/>
      <c r="P278"/>
      <c r="Q278"/>
    </row>
    <row r="279" spans="9:17" x14ac:dyDescent="0.3">
      <c r="I279"/>
      <c r="J279"/>
      <c r="K279"/>
      <c r="L279"/>
      <c r="M279"/>
      <c r="N279"/>
      <c r="O279"/>
      <c r="P279"/>
      <c r="Q279"/>
    </row>
    <row r="280" spans="9:17" x14ac:dyDescent="0.3">
      <c r="I280"/>
      <c r="J280"/>
      <c r="K280"/>
      <c r="L280"/>
      <c r="M280"/>
      <c r="N280"/>
      <c r="O280"/>
      <c r="P280"/>
      <c r="Q280"/>
    </row>
    <row r="281" spans="9:17" x14ac:dyDescent="0.3">
      <c r="I281"/>
      <c r="J281"/>
      <c r="K281"/>
      <c r="L281"/>
      <c r="M281"/>
      <c r="N281"/>
      <c r="O281"/>
      <c r="P281"/>
      <c r="Q281"/>
    </row>
    <row r="282" spans="9:17" x14ac:dyDescent="0.3">
      <c r="I282"/>
      <c r="J282"/>
      <c r="K282"/>
      <c r="L282"/>
      <c r="M282"/>
      <c r="N282"/>
      <c r="O282"/>
      <c r="P282"/>
      <c r="Q282"/>
    </row>
    <row r="283" spans="9:17" x14ac:dyDescent="0.3">
      <c r="I283"/>
      <c r="J283"/>
      <c r="K283"/>
      <c r="L283"/>
      <c r="M283"/>
      <c r="N283"/>
      <c r="O283"/>
      <c r="P283"/>
      <c r="Q283"/>
    </row>
    <row r="284" spans="9:17" x14ac:dyDescent="0.3">
      <c r="I284"/>
      <c r="J284"/>
      <c r="K284"/>
      <c r="L284"/>
      <c r="M284"/>
      <c r="N284"/>
      <c r="O284"/>
      <c r="P284"/>
      <c r="Q284"/>
    </row>
    <row r="285" spans="9:17" x14ac:dyDescent="0.3">
      <c r="I285"/>
      <c r="J285"/>
      <c r="K285"/>
      <c r="L285"/>
      <c r="M285"/>
      <c r="N285"/>
      <c r="O285"/>
      <c r="P285"/>
      <c r="Q285"/>
    </row>
    <row r="286" spans="9:17" x14ac:dyDescent="0.3">
      <c r="I286"/>
      <c r="J286"/>
      <c r="K286"/>
      <c r="L286"/>
      <c r="M286"/>
      <c r="N286"/>
      <c r="O286"/>
      <c r="P286"/>
      <c r="Q286"/>
    </row>
    <row r="287" spans="9:17" x14ac:dyDescent="0.3">
      <c r="I287"/>
      <c r="J287"/>
      <c r="K287"/>
      <c r="L287"/>
      <c r="M287"/>
      <c r="N287"/>
      <c r="O287"/>
      <c r="P287"/>
      <c r="Q287"/>
    </row>
    <row r="288" spans="9:17" x14ac:dyDescent="0.3">
      <c r="I288"/>
      <c r="J288"/>
      <c r="K288"/>
      <c r="L288"/>
      <c r="M288"/>
      <c r="N288"/>
      <c r="O288"/>
      <c r="P288"/>
      <c r="Q288"/>
    </row>
    <row r="289" spans="9:17" x14ac:dyDescent="0.3">
      <c r="I289"/>
      <c r="J289"/>
      <c r="K289"/>
      <c r="L289"/>
      <c r="M289"/>
      <c r="N289"/>
      <c r="O289"/>
      <c r="P289"/>
      <c r="Q289"/>
    </row>
    <row r="290" spans="9:17" x14ac:dyDescent="0.3">
      <c r="I290"/>
      <c r="J290"/>
      <c r="K290"/>
      <c r="L290"/>
      <c r="M290"/>
      <c r="N290"/>
      <c r="O290"/>
      <c r="P290"/>
      <c r="Q290"/>
    </row>
    <row r="291" spans="9:17" x14ac:dyDescent="0.3">
      <c r="I291"/>
      <c r="J291"/>
      <c r="K291"/>
      <c r="L291"/>
      <c r="M291"/>
      <c r="N291"/>
      <c r="O291"/>
      <c r="P291"/>
      <c r="Q291"/>
    </row>
    <row r="292" spans="9:17" x14ac:dyDescent="0.3">
      <c r="I292"/>
      <c r="J292"/>
      <c r="K292"/>
      <c r="L292"/>
      <c r="M292"/>
      <c r="N292"/>
      <c r="O292"/>
      <c r="P292"/>
      <c r="Q292"/>
    </row>
    <row r="293" spans="9:17" x14ac:dyDescent="0.3">
      <c r="I293"/>
      <c r="J293"/>
      <c r="K293"/>
      <c r="L293"/>
      <c r="M293"/>
      <c r="N293"/>
      <c r="O293"/>
      <c r="P293"/>
      <c r="Q293"/>
    </row>
    <row r="294" spans="9:17" x14ac:dyDescent="0.3">
      <c r="I294"/>
      <c r="J294"/>
      <c r="K294"/>
      <c r="L294"/>
      <c r="M294"/>
      <c r="N294"/>
      <c r="O294"/>
      <c r="P294"/>
      <c r="Q294"/>
    </row>
    <row r="295" spans="9:17" x14ac:dyDescent="0.3">
      <c r="I295"/>
      <c r="J295"/>
      <c r="K295"/>
      <c r="L295"/>
      <c r="M295"/>
      <c r="N295"/>
      <c r="O295"/>
      <c r="P295"/>
      <c r="Q295"/>
    </row>
    <row r="296" spans="9:17" x14ac:dyDescent="0.3">
      <c r="I296"/>
      <c r="J296"/>
      <c r="K296"/>
      <c r="L296"/>
      <c r="M296"/>
      <c r="N296"/>
      <c r="O296"/>
      <c r="P296"/>
      <c r="Q296"/>
    </row>
    <row r="297" spans="9:17" x14ac:dyDescent="0.3">
      <c r="I297"/>
      <c r="J297"/>
      <c r="K297"/>
      <c r="L297"/>
      <c r="M297"/>
      <c r="N297"/>
      <c r="O297"/>
      <c r="P297"/>
      <c r="Q297"/>
    </row>
    <row r="298" spans="9:17" x14ac:dyDescent="0.3">
      <c r="I298"/>
      <c r="J298"/>
      <c r="K298"/>
      <c r="L298"/>
      <c r="M298"/>
      <c r="N298"/>
      <c r="O298"/>
      <c r="P298"/>
      <c r="Q298"/>
    </row>
    <row r="299" spans="9:17" x14ac:dyDescent="0.3">
      <c r="I299"/>
      <c r="J299"/>
      <c r="K299"/>
      <c r="L299"/>
      <c r="M299"/>
      <c r="N299"/>
      <c r="O299"/>
      <c r="P299"/>
      <c r="Q299"/>
    </row>
    <row r="300" spans="9:17" x14ac:dyDescent="0.3">
      <c r="I300"/>
      <c r="J300"/>
      <c r="K300"/>
      <c r="L300"/>
      <c r="M300"/>
      <c r="N300"/>
      <c r="O300"/>
      <c r="P300"/>
      <c r="Q300"/>
    </row>
    <row r="301" spans="9:17" x14ac:dyDescent="0.3">
      <c r="I301"/>
      <c r="J301"/>
      <c r="K301"/>
      <c r="L301"/>
      <c r="M301"/>
      <c r="N301"/>
      <c r="O301"/>
      <c r="P301"/>
      <c r="Q301"/>
    </row>
    <row r="302" spans="9:17" x14ac:dyDescent="0.3">
      <c r="I302"/>
      <c r="J302"/>
      <c r="K302"/>
      <c r="L302"/>
      <c r="M302"/>
      <c r="N302"/>
      <c r="O302"/>
      <c r="P302"/>
      <c r="Q302"/>
    </row>
    <row r="303" spans="9:17" x14ac:dyDescent="0.3">
      <c r="I303"/>
      <c r="J303"/>
      <c r="K303"/>
      <c r="L303"/>
      <c r="M303"/>
      <c r="N303"/>
      <c r="O303"/>
      <c r="P303"/>
      <c r="Q303"/>
    </row>
    <row r="304" spans="9:17" x14ac:dyDescent="0.3">
      <c r="I304"/>
      <c r="J304"/>
      <c r="K304"/>
      <c r="L304"/>
      <c r="M304"/>
      <c r="N304"/>
      <c r="O304"/>
      <c r="P304"/>
      <c r="Q304"/>
    </row>
    <row r="305" spans="9:17" x14ac:dyDescent="0.3">
      <c r="I305"/>
      <c r="J305"/>
      <c r="K305"/>
      <c r="L305"/>
      <c r="M305"/>
      <c r="N305"/>
      <c r="O305"/>
      <c r="P305"/>
      <c r="Q305"/>
    </row>
    <row r="306" spans="9:17" x14ac:dyDescent="0.3">
      <c r="I306"/>
      <c r="J306"/>
      <c r="K306"/>
      <c r="L306"/>
      <c r="M306"/>
      <c r="N306"/>
      <c r="O306"/>
      <c r="P306"/>
      <c r="Q306"/>
    </row>
    <row r="307" spans="9:17" x14ac:dyDescent="0.3">
      <c r="I307"/>
      <c r="J307"/>
      <c r="K307"/>
      <c r="L307"/>
      <c r="M307"/>
      <c r="N307"/>
      <c r="O307"/>
      <c r="P307"/>
      <c r="Q307"/>
    </row>
    <row r="308" spans="9:17" x14ac:dyDescent="0.3">
      <c r="I308"/>
      <c r="J308"/>
      <c r="K308"/>
      <c r="L308"/>
      <c r="M308"/>
      <c r="N308"/>
      <c r="O308"/>
      <c r="P308"/>
      <c r="Q308"/>
    </row>
    <row r="309" spans="9:17" x14ac:dyDescent="0.3">
      <c r="I309"/>
      <c r="J309"/>
      <c r="K309"/>
      <c r="L309"/>
      <c r="M309"/>
      <c r="N309"/>
      <c r="O309"/>
      <c r="P309"/>
      <c r="Q309"/>
    </row>
    <row r="310" spans="9:17" x14ac:dyDescent="0.3">
      <c r="I310"/>
      <c r="J310"/>
      <c r="K310"/>
      <c r="L310"/>
      <c r="M310"/>
      <c r="N310"/>
      <c r="O310"/>
      <c r="P310"/>
      <c r="Q310"/>
    </row>
    <row r="311" spans="9:17" x14ac:dyDescent="0.3">
      <c r="I311"/>
      <c r="J311"/>
      <c r="K311"/>
      <c r="L311"/>
      <c r="M311"/>
      <c r="N311"/>
      <c r="O311"/>
      <c r="P311"/>
      <c r="Q311"/>
    </row>
    <row r="312" spans="9:17" x14ac:dyDescent="0.3">
      <c r="I312"/>
      <c r="J312"/>
      <c r="K312"/>
      <c r="L312"/>
      <c r="M312"/>
      <c r="N312"/>
      <c r="O312"/>
      <c r="P312"/>
      <c r="Q312"/>
    </row>
    <row r="313" spans="9:17" x14ac:dyDescent="0.3">
      <c r="I313"/>
      <c r="J313"/>
      <c r="K313"/>
      <c r="L313"/>
      <c r="M313"/>
      <c r="N313"/>
      <c r="O313"/>
      <c r="P313"/>
      <c r="Q313"/>
    </row>
    <row r="314" spans="9:17" x14ac:dyDescent="0.3">
      <c r="I314"/>
      <c r="J314"/>
      <c r="K314"/>
      <c r="L314"/>
      <c r="M314"/>
      <c r="N314"/>
      <c r="O314"/>
      <c r="P314"/>
      <c r="Q314"/>
    </row>
    <row r="315" spans="9:17" x14ac:dyDescent="0.3">
      <c r="I315"/>
      <c r="J315"/>
      <c r="K315"/>
      <c r="L315"/>
      <c r="M315"/>
      <c r="N315"/>
      <c r="O315"/>
      <c r="P315"/>
      <c r="Q315"/>
    </row>
    <row r="316" spans="9:17" x14ac:dyDescent="0.3">
      <c r="I316"/>
      <c r="J316"/>
      <c r="K316"/>
      <c r="L316"/>
      <c r="M316"/>
      <c r="N316"/>
      <c r="O316"/>
      <c r="P316"/>
      <c r="Q316"/>
    </row>
    <row r="317" spans="9:17" x14ac:dyDescent="0.3">
      <c r="I317"/>
      <c r="J317"/>
      <c r="K317"/>
      <c r="L317"/>
      <c r="M317"/>
      <c r="N317"/>
      <c r="O317"/>
      <c r="P317"/>
      <c r="Q317"/>
    </row>
    <row r="318" spans="9:17" x14ac:dyDescent="0.3">
      <c r="I318"/>
      <c r="J318"/>
      <c r="K318"/>
      <c r="L318"/>
      <c r="M318"/>
      <c r="N318"/>
      <c r="O318"/>
      <c r="P318"/>
      <c r="Q318"/>
    </row>
    <row r="319" spans="9:17" x14ac:dyDescent="0.3">
      <c r="I319"/>
      <c r="J319"/>
      <c r="K319"/>
      <c r="L319"/>
      <c r="M319"/>
      <c r="N319"/>
      <c r="O319"/>
      <c r="P319"/>
      <c r="Q319"/>
    </row>
    <row r="320" spans="9:17" x14ac:dyDescent="0.3">
      <c r="I320"/>
      <c r="J320"/>
      <c r="K320"/>
      <c r="L320"/>
      <c r="M320"/>
      <c r="N320"/>
      <c r="O320"/>
      <c r="P320"/>
      <c r="Q320"/>
    </row>
    <row r="321" spans="9:17" x14ac:dyDescent="0.3">
      <c r="I321"/>
      <c r="J321"/>
      <c r="K321"/>
      <c r="L321"/>
      <c r="M321"/>
      <c r="N321"/>
      <c r="O321"/>
      <c r="P321"/>
      <c r="Q321"/>
    </row>
    <row r="322" spans="9:17" x14ac:dyDescent="0.3">
      <c r="I322"/>
      <c r="J322"/>
      <c r="K322"/>
      <c r="L322"/>
      <c r="M322"/>
      <c r="N322"/>
      <c r="O322"/>
      <c r="P322"/>
      <c r="Q322"/>
    </row>
    <row r="323" spans="9:17" x14ac:dyDescent="0.3">
      <c r="I323"/>
      <c r="J323"/>
      <c r="K323"/>
      <c r="L323"/>
      <c r="M323"/>
      <c r="N323"/>
      <c r="O323"/>
      <c r="P323"/>
      <c r="Q323"/>
    </row>
    <row r="324" spans="9:17" x14ac:dyDescent="0.3">
      <c r="I324"/>
      <c r="J324"/>
      <c r="K324"/>
      <c r="L324"/>
      <c r="M324"/>
      <c r="N324"/>
      <c r="O324"/>
      <c r="P324"/>
      <c r="Q324"/>
    </row>
    <row r="325" spans="9:17" x14ac:dyDescent="0.3">
      <c r="I325"/>
      <c r="J325"/>
      <c r="K325"/>
      <c r="L325"/>
      <c r="M325"/>
      <c r="N325"/>
      <c r="O325"/>
      <c r="P325"/>
      <c r="Q325"/>
    </row>
    <row r="326" spans="9:17" x14ac:dyDescent="0.3">
      <c r="I326"/>
      <c r="J326"/>
      <c r="K326"/>
      <c r="L326"/>
      <c r="M326"/>
      <c r="N326"/>
      <c r="O326"/>
      <c r="P326"/>
      <c r="Q326"/>
    </row>
    <row r="327" spans="9:17" x14ac:dyDescent="0.3">
      <c r="I327"/>
      <c r="J327"/>
      <c r="K327"/>
      <c r="L327"/>
      <c r="M327"/>
      <c r="N327"/>
      <c r="O327"/>
      <c r="P327"/>
      <c r="Q327"/>
    </row>
    <row r="328" spans="9:17" x14ac:dyDescent="0.3">
      <c r="I328"/>
      <c r="J328"/>
      <c r="K328"/>
      <c r="L328"/>
      <c r="M328"/>
      <c r="N328"/>
      <c r="O328"/>
      <c r="P328"/>
      <c r="Q328"/>
    </row>
    <row r="329" spans="9:17" x14ac:dyDescent="0.3">
      <c r="I329"/>
      <c r="J329"/>
      <c r="K329"/>
      <c r="L329"/>
      <c r="M329"/>
      <c r="N329"/>
      <c r="O329"/>
      <c r="P329"/>
      <c r="Q329"/>
    </row>
    <row r="330" spans="9:17" x14ac:dyDescent="0.3">
      <c r="I330"/>
      <c r="J330"/>
      <c r="K330"/>
      <c r="L330"/>
      <c r="M330"/>
      <c r="N330"/>
      <c r="O330"/>
      <c r="P330"/>
      <c r="Q330"/>
    </row>
    <row r="331" spans="9:17" x14ac:dyDescent="0.3">
      <c r="I331"/>
      <c r="J331"/>
      <c r="K331"/>
      <c r="L331"/>
      <c r="M331"/>
      <c r="N331"/>
      <c r="O331"/>
      <c r="P331"/>
      <c r="Q331"/>
    </row>
    <row r="332" spans="9:17" x14ac:dyDescent="0.3">
      <c r="I332"/>
      <c r="J332"/>
      <c r="K332"/>
      <c r="L332"/>
      <c r="M332"/>
      <c r="N332"/>
      <c r="O332"/>
      <c r="P332"/>
      <c r="Q332"/>
    </row>
    <row r="333" spans="9:17" x14ac:dyDescent="0.3">
      <c r="I333"/>
      <c r="J333"/>
      <c r="K333"/>
      <c r="L333"/>
      <c r="M333"/>
      <c r="N333"/>
      <c r="O333"/>
      <c r="P333"/>
      <c r="Q333"/>
    </row>
    <row r="334" spans="9:17" x14ac:dyDescent="0.3">
      <c r="I334"/>
      <c r="J334"/>
      <c r="K334"/>
      <c r="L334"/>
      <c r="M334"/>
      <c r="N334"/>
      <c r="O334"/>
      <c r="P334"/>
      <c r="Q334"/>
    </row>
    <row r="335" spans="9:17" x14ac:dyDescent="0.3">
      <c r="I335"/>
      <c r="J335"/>
      <c r="K335"/>
      <c r="L335"/>
      <c r="M335"/>
      <c r="N335"/>
      <c r="O335"/>
      <c r="P335"/>
      <c r="Q335"/>
    </row>
    <row r="336" spans="9:17" x14ac:dyDescent="0.3">
      <c r="I336"/>
      <c r="J336"/>
      <c r="K336"/>
      <c r="L336"/>
      <c r="M336"/>
      <c r="N336"/>
      <c r="O336"/>
      <c r="P336"/>
      <c r="Q336"/>
    </row>
    <row r="337" spans="9:17" x14ac:dyDescent="0.3">
      <c r="I337"/>
      <c r="J337"/>
      <c r="K337"/>
      <c r="L337"/>
      <c r="M337"/>
      <c r="N337"/>
      <c r="O337"/>
      <c r="P337"/>
      <c r="Q337"/>
    </row>
    <row r="338" spans="9:17" x14ac:dyDescent="0.3">
      <c r="I338"/>
      <c r="J338"/>
      <c r="K338"/>
      <c r="L338"/>
      <c r="M338"/>
      <c r="N338"/>
      <c r="O338"/>
      <c r="P338"/>
      <c r="Q338"/>
    </row>
    <row r="339" spans="9:17" x14ac:dyDescent="0.3">
      <c r="I339"/>
      <c r="J339"/>
      <c r="K339"/>
      <c r="L339"/>
      <c r="M339"/>
      <c r="N339"/>
      <c r="O339"/>
      <c r="P339"/>
      <c r="Q339"/>
    </row>
    <row r="340" spans="9:17" x14ac:dyDescent="0.3">
      <c r="I340"/>
      <c r="J340"/>
      <c r="K340"/>
      <c r="L340"/>
      <c r="M340"/>
      <c r="N340"/>
      <c r="O340"/>
      <c r="P340"/>
      <c r="Q340"/>
    </row>
    <row r="341" spans="9:17" x14ac:dyDescent="0.3">
      <c r="I341"/>
      <c r="J341"/>
      <c r="K341"/>
      <c r="L341"/>
      <c r="M341"/>
      <c r="N341"/>
      <c r="O341"/>
      <c r="P341"/>
      <c r="Q341"/>
    </row>
    <row r="342" spans="9:17" x14ac:dyDescent="0.3">
      <c r="I342"/>
      <c r="J342"/>
      <c r="K342"/>
      <c r="L342"/>
      <c r="M342"/>
      <c r="N342"/>
      <c r="O342"/>
      <c r="P342"/>
      <c r="Q342"/>
    </row>
    <row r="343" spans="9:17" x14ac:dyDescent="0.3">
      <c r="I343"/>
      <c r="J343"/>
      <c r="K343"/>
      <c r="L343"/>
      <c r="M343"/>
      <c r="N343"/>
      <c r="O343"/>
      <c r="P343"/>
      <c r="Q343"/>
    </row>
    <row r="344" spans="9:17" x14ac:dyDescent="0.3">
      <c r="I344"/>
      <c r="J344"/>
      <c r="K344"/>
      <c r="L344"/>
      <c r="M344"/>
      <c r="N344"/>
      <c r="O344"/>
      <c r="P344"/>
      <c r="Q344"/>
    </row>
    <row r="345" spans="9:17" x14ac:dyDescent="0.3">
      <c r="I345"/>
      <c r="J345"/>
      <c r="K345"/>
      <c r="L345"/>
      <c r="M345"/>
      <c r="N345"/>
      <c r="O345"/>
      <c r="P345"/>
      <c r="Q345"/>
    </row>
    <row r="346" spans="9:17" x14ac:dyDescent="0.3">
      <c r="I346"/>
      <c r="J346"/>
      <c r="K346"/>
      <c r="L346"/>
      <c r="M346"/>
      <c r="N346"/>
      <c r="O346"/>
      <c r="P346"/>
      <c r="Q346"/>
    </row>
    <row r="347" spans="9:17" x14ac:dyDescent="0.3">
      <c r="I347"/>
      <c r="J347"/>
      <c r="K347"/>
      <c r="L347"/>
      <c r="M347"/>
      <c r="N347"/>
      <c r="O347"/>
      <c r="P347"/>
      <c r="Q347"/>
    </row>
    <row r="348" spans="9:17" x14ac:dyDescent="0.3">
      <c r="I348"/>
      <c r="J348"/>
      <c r="K348"/>
      <c r="L348"/>
      <c r="M348"/>
      <c r="N348"/>
      <c r="O348"/>
      <c r="P348"/>
      <c r="Q348"/>
    </row>
    <row r="349" spans="9:17" x14ac:dyDescent="0.3">
      <c r="I349"/>
      <c r="J349"/>
      <c r="K349"/>
      <c r="L349"/>
      <c r="M349"/>
      <c r="N349"/>
      <c r="O349"/>
      <c r="P349"/>
      <c r="Q349"/>
    </row>
    <row r="350" spans="9:17" x14ac:dyDescent="0.3">
      <c r="I350"/>
      <c r="J350"/>
      <c r="K350"/>
      <c r="L350"/>
      <c r="M350"/>
      <c r="N350"/>
      <c r="O350"/>
      <c r="P350"/>
      <c r="Q350"/>
    </row>
    <row r="351" spans="9:17" x14ac:dyDescent="0.3">
      <c r="I351"/>
      <c r="J351"/>
      <c r="K351"/>
      <c r="L351"/>
      <c r="M351"/>
      <c r="N351"/>
      <c r="O351"/>
      <c r="P351"/>
      <c r="Q351"/>
    </row>
    <row r="352" spans="9:17" x14ac:dyDescent="0.3">
      <c r="I352"/>
      <c r="J352"/>
      <c r="K352"/>
      <c r="L352"/>
      <c r="M352"/>
      <c r="N352"/>
      <c r="O352"/>
      <c r="P352"/>
      <c r="Q352"/>
    </row>
    <row r="353" spans="9:17" x14ac:dyDescent="0.3">
      <c r="I353"/>
      <c r="J353"/>
      <c r="K353"/>
      <c r="L353"/>
      <c r="M353"/>
      <c r="N353"/>
      <c r="O353"/>
      <c r="P353"/>
      <c r="Q353"/>
    </row>
    <row r="354" spans="9:17" x14ac:dyDescent="0.3">
      <c r="I354"/>
      <c r="J354"/>
      <c r="K354"/>
      <c r="L354"/>
      <c r="M354"/>
      <c r="N354"/>
      <c r="O354"/>
      <c r="P354"/>
      <c r="Q354"/>
    </row>
    <row r="355" spans="9:17" x14ac:dyDescent="0.3">
      <c r="I355"/>
      <c r="J355"/>
      <c r="K355"/>
      <c r="L355"/>
      <c r="M355"/>
      <c r="N355"/>
      <c r="O355"/>
      <c r="P355"/>
      <c r="Q355"/>
    </row>
    <row r="356" spans="9:17" x14ac:dyDescent="0.3">
      <c r="I356"/>
      <c r="J356"/>
      <c r="K356"/>
      <c r="L356"/>
      <c r="M356"/>
      <c r="N356"/>
      <c r="O356"/>
      <c r="P356"/>
      <c r="Q356"/>
    </row>
    <row r="357" spans="9:17" x14ac:dyDescent="0.3">
      <c r="I357"/>
      <c r="J357"/>
      <c r="K357"/>
      <c r="L357"/>
      <c r="M357"/>
      <c r="N357"/>
      <c r="O357"/>
      <c r="P357"/>
      <c r="Q357"/>
    </row>
    <row r="358" spans="9:17" x14ac:dyDescent="0.3">
      <c r="I358"/>
      <c r="J358"/>
      <c r="K358"/>
      <c r="L358"/>
      <c r="M358"/>
      <c r="N358"/>
      <c r="O358"/>
      <c r="P358"/>
      <c r="Q358"/>
    </row>
    <row r="359" spans="9:17" x14ac:dyDescent="0.3">
      <c r="I359"/>
      <c r="J359"/>
      <c r="K359"/>
      <c r="L359"/>
      <c r="M359"/>
      <c r="N359"/>
      <c r="O359"/>
      <c r="P359"/>
      <c r="Q359"/>
    </row>
    <row r="360" spans="9:17" x14ac:dyDescent="0.3">
      <c r="I360"/>
      <c r="J360"/>
      <c r="K360"/>
      <c r="L360"/>
      <c r="M360"/>
      <c r="N360"/>
      <c r="O360"/>
      <c r="P360"/>
      <c r="Q360"/>
    </row>
    <row r="361" spans="9:17" x14ac:dyDescent="0.3">
      <c r="I361"/>
      <c r="J361"/>
      <c r="K361"/>
      <c r="L361"/>
      <c r="M361"/>
      <c r="N361"/>
      <c r="O361"/>
      <c r="P361"/>
      <c r="Q361"/>
    </row>
    <row r="362" spans="9:17" x14ac:dyDescent="0.3">
      <c r="I362"/>
      <c r="J362"/>
      <c r="K362"/>
      <c r="L362"/>
      <c r="M362"/>
      <c r="N362"/>
      <c r="O362"/>
      <c r="P362"/>
      <c r="Q362"/>
    </row>
    <row r="363" spans="9:17" x14ac:dyDescent="0.3">
      <c r="I363"/>
      <c r="J363"/>
      <c r="K363"/>
      <c r="L363"/>
      <c r="M363"/>
      <c r="N363"/>
      <c r="O363"/>
      <c r="P363"/>
      <c r="Q363"/>
    </row>
    <row r="364" spans="9:17" x14ac:dyDescent="0.3">
      <c r="I364"/>
      <c r="J364"/>
      <c r="K364"/>
      <c r="L364"/>
      <c r="M364"/>
      <c r="N364"/>
      <c r="O364"/>
      <c r="P364"/>
      <c r="Q364"/>
    </row>
    <row r="365" spans="9:17" x14ac:dyDescent="0.3">
      <c r="I365"/>
      <c r="J365"/>
      <c r="K365"/>
      <c r="L365"/>
      <c r="M365"/>
      <c r="N365"/>
      <c r="O365"/>
      <c r="P365"/>
      <c r="Q365"/>
    </row>
    <row r="366" spans="9:17" x14ac:dyDescent="0.3">
      <c r="I366"/>
      <c r="J366"/>
      <c r="K366"/>
      <c r="L366"/>
      <c r="M366"/>
      <c r="N366"/>
      <c r="O366"/>
      <c r="P366"/>
      <c r="Q366"/>
    </row>
    <row r="367" spans="9:17" x14ac:dyDescent="0.3">
      <c r="I367"/>
      <c r="J367"/>
      <c r="K367"/>
      <c r="L367"/>
      <c r="M367"/>
      <c r="N367"/>
      <c r="O367"/>
      <c r="P367"/>
      <c r="Q367"/>
    </row>
    <row r="368" spans="9:17" x14ac:dyDescent="0.3">
      <c r="I368"/>
      <c r="J368"/>
      <c r="K368"/>
      <c r="L368"/>
      <c r="M368"/>
      <c r="N368"/>
      <c r="O368"/>
      <c r="P368"/>
      <c r="Q368"/>
    </row>
    <row r="369" spans="9:17" x14ac:dyDescent="0.3">
      <c r="I369"/>
      <c r="J369"/>
      <c r="K369"/>
      <c r="L369"/>
      <c r="M369"/>
      <c r="N369"/>
      <c r="O369"/>
      <c r="P369"/>
      <c r="Q369"/>
    </row>
    <row r="370" spans="9:17" x14ac:dyDescent="0.3">
      <c r="I370"/>
      <c r="J370"/>
      <c r="K370"/>
      <c r="L370"/>
      <c r="M370"/>
      <c r="N370"/>
      <c r="O370"/>
      <c r="P370"/>
      <c r="Q370"/>
    </row>
    <row r="371" spans="9:17" x14ac:dyDescent="0.3">
      <c r="I371"/>
      <c r="J371"/>
      <c r="K371"/>
      <c r="L371"/>
      <c r="M371"/>
      <c r="N371"/>
      <c r="O371"/>
      <c r="P371"/>
      <c r="Q371"/>
    </row>
    <row r="372" spans="9:17" x14ac:dyDescent="0.3">
      <c r="I372"/>
      <c r="J372"/>
      <c r="K372"/>
      <c r="L372"/>
      <c r="M372"/>
      <c r="N372"/>
      <c r="O372"/>
      <c r="P372"/>
      <c r="Q372"/>
    </row>
    <row r="373" spans="9:17" x14ac:dyDescent="0.3">
      <c r="I373"/>
      <c r="J373"/>
      <c r="K373"/>
      <c r="L373"/>
      <c r="M373"/>
      <c r="N373"/>
      <c r="O373"/>
      <c r="P373"/>
      <c r="Q373"/>
    </row>
    <row r="374" spans="9:17" x14ac:dyDescent="0.3">
      <c r="I374"/>
      <c r="J374"/>
      <c r="K374"/>
      <c r="L374"/>
      <c r="M374"/>
      <c r="N374"/>
      <c r="O374"/>
      <c r="P374"/>
      <c r="Q374"/>
    </row>
    <row r="375" spans="9:17" x14ac:dyDescent="0.3">
      <c r="I375"/>
      <c r="J375"/>
      <c r="K375"/>
      <c r="L375"/>
      <c r="M375"/>
      <c r="N375"/>
      <c r="O375"/>
      <c r="P375"/>
      <c r="Q375"/>
    </row>
    <row r="376" spans="9:17" x14ac:dyDescent="0.3">
      <c r="I376"/>
      <c r="J376"/>
      <c r="K376"/>
      <c r="L376"/>
      <c r="M376"/>
      <c r="N376"/>
      <c r="O376"/>
      <c r="P376"/>
      <c r="Q376"/>
    </row>
    <row r="377" spans="9:17" x14ac:dyDescent="0.3">
      <c r="I377"/>
      <c r="J377"/>
      <c r="K377"/>
      <c r="L377"/>
      <c r="M377"/>
      <c r="N377"/>
      <c r="O377"/>
      <c r="P377"/>
      <c r="Q377"/>
    </row>
    <row r="378" spans="9:17" x14ac:dyDescent="0.3">
      <c r="I378"/>
      <c r="J378"/>
      <c r="K378"/>
      <c r="L378"/>
      <c r="M378"/>
      <c r="N378"/>
      <c r="O378"/>
      <c r="P378"/>
      <c r="Q378"/>
    </row>
    <row r="379" spans="9:17" x14ac:dyDescent="0.3">
      <c r="I379"/>
      <c r="J379"/>
      <c r="K379"/>
      <c r="L379"/>
      <c r="M379"/>
      <c r="N379"/>
      <c r="O379"/>
      <c r="P379"/>
      <c r="Q379"/>
    </row>
    <row r="380" spans="9:17" x14ac:dyDescent="0.3">
      <c r="I380"/>
      <c r="J380"/>
      <c r="K380"/>
      <c r="L380"/>
      <c r="M380"/>
      <c r="N380"/>
      <c r="O380"/>
      <c r="P380"/>
      <c r="Q380"/>
    </row>
    <row r="381" spans="9:17" x14ac:dyDescent="0.3">
      <c r="I381"/>
      <c r="J381"/>
      <c r="K381"/>
      <c r="L381"/>
      <c r="M381"/>
      <c r="N381"/>
      <c r="O381"/>
      <c r="P381"/>
      <c r="Q381"/>
    </row>
    <row r="382" spans="9:17" x14ac:dyDescent="0.3">
      <c r="I382"/>
      <c r="J382"/>
      <c r="K382"/>
      <c r="L382"/>
      <c r="M382"/>
      <c r="N382"/>
      <c r="O382"/>
      <c r="P382"/>
      <c r="Q382"/>
    </row>
    <row r="383" spans="9:17" x14ac:dyDescent="0.3">
      <c r="I383"/>
      <c r="J383"/>
      <c r="K383"/>
      <c r="L383"/>
      <c r="M383"/>
      <c r="N383"/>
      <c r="O383"/>
      <c r="P383"/>
      <c r="Q383"/>
    </row>
    <row r="384" spans="9:17" x14ac:dyDescent="0.3">
      <c r="I384"/>
      <c r="J384"/>
      <c r="K384"/>
      <c r="L384"/>
      <c r="M384"/>
      <c r="N384"/>
      <c r="O384"/>
      <c r="P384"/>
      <c r="Q384"/>
    </row>
    <row r="385" spans="9:17" x14ac:dyDescent="0.3">
      <c r="I385"/>
      <c r="J385"/>
      <c r="K385"/>
      <c r="L385"/>
      <c r="M385"/>
      <c r="N385"/>
      <c r="O385"/>
      <c r="P385"/>
      <c r="Q385"/>
    </row>
    <row r="386" spans="9:17" x14ac:dyDescent="0.3">
      <c r="I386"/>
      <c r="J386"/>
      <c r="K386"/>
      <c r="L386"/>
      <c r="M386"/>
      <c r="N386"/>
      <c r="O386"/>
      <c r="P386"/>
      <c r="Q386"/>
    </row>
    <row r="387" spans="9:17" x14ac:dyDescent="0.3">
      <c r="I387"/>
      <c r="J387"/>
      <c r="K387"/>
      <c r="L387"/>
      <c r="M387"/>
      <c r="N387"/>
      <c r="O387"/>
      <c r="P387"/>
      <c r="Q387"/>
    </row>
    <row r="388" spans="9:17" x14ac:dyDescent="0.3">
      <c r="I388"/>
      <c r="J388"/>
      <c r="K388"/>
      <c r="L388"/>
      <c r="M388"/>
      <c r="N388"/>
      <c r="O388"/>
      <c r="P388"/>
      <c r="Q388"/>
    </row>
    <row r="389" spans="9:17" x14ac:dyDescent="0.3">
      <c r="I389"/>
      <c r="J389"/>
      <c r="K389"/>
      <c r="L389"/>
      <c r="M389"/>
      <c r="N389"/>
      <c r="O389"/>
      <c r="P389"/>
      <c r="Q389"/>
    </row>
    <row r="390" spans="9:17" x14ac:dyDescent="0.3">
      <c r="I390"/>
      <c r="J390"/>
      <c r="K390"/>
      <c r="L390"/>
      <c r="M390"/>
      <c r="N390"/>
      <c r="O390"/>
      <c r="P390"/>
      <c r="Q390"/>
    </row>
    <row r="391" spans="9:17" x14ac:dyDescent="0.3">
      <c r="I391"/>
      <c r="J391"/>
      <c r="K391"/>
      <c r="L391"/>
      <c r="M391"/>
      <c r="N391"/>
      <c r="O391"/>
      <c r="P391"/>
      <c r="Q391"/>
    </row>
    <row r="392" spans="9:17" x14ac:dyDescent="0.3">
      <c r="I392"/>
      <c r="J392"/>
      <c r="K392"/>
      <c r="L392"/>
      <c r="M392"/>
      <c r="N392"/>
      <c r="O392"/>
      <c r="P392"/>
      <c r="Q392"/>
    </row>
    <row r="393" spans="9:17" x14ac:dyDescent="0.3">
      <c r="I393"/>
      <c r="J393"/>
      <c r="K393"/>
      <c r="L393"/>
      <c r="M393"/>
      <c r="N393"/>
      <c r="O393"/>
      <c r="P393"/>
      <c r="Q393"/>
    </row>
    <row r="394" spans="9:17" x14ac:dyDescent="0.3">
      <c r="I394"/>
      <c r="J394"/>
      <c r="K394"/>
      <c r="L394"/>
      <c r="M394"/>
      <c r="N394"/>
      <c r="O394"/>
      <c r="P394"/>
      <c r="Q394"/>
    </row>
    <row r="395" spans="9:17" x14ac:dyDescent="0.3">
      <c r="I395"/>
      <c r="J395"/>
      <c r="K395"/>
      <c r="L395"/>
      <c r="M395"/>
      <c r="N395"/>
      <c r="O395"/>
      <c r="P395"/>
      <c r="Q395"/>
    </row>
    <row r="396" spans="9:17" x14ac:dyDescent="0.3">
      <c r="I396"/>
      <c r="J396"/>
      <c r="K396"/>
      <c r="L396"/>
      <c r="M396"/>
      <c r="N396"/>
      <c r="O396"/>
      <c r="P396"/>
      <c r="Q396"/>
    </row>
    <row r="397" spans="9:17" x14ac:dyDescent="0.3">
      <c r="I397"/>
      <c r="J397"/>
      <c r="K397"/>
      <c r="L397"/>
      <c r="M397"/>
      <c r="N397"/>
      <c r="O397"/>
      <c r="P397"/>
      <c r="Q397"/>
    </row>
    <row r="398" spans="9:17" x14ac:dyDescent="0.3">
      <c r="I398"/>
      <c r="J398"/>
      <c r="K398"/>
      <c r="L398"/>
      <c r="M398"/>
      <c r="N398"/>
      <c r="O398"/>
      <c r="P398"/>
      <c r="Q398"/>
    </row>
    <row r="399" spans="9:17" x14ac:dyDescent="0.3">
      <c r="I399"/>
      <c r="J399"/>
      <c r="K399"/>
      <c r="L399"/>
      <c r="M399"/>
      <c r="N399"/>
      <c r="O399"/>
      <c r="P399"/>
      <c r="Q399"/>
    </row>
    <row r="400" spans="9:17" x14ac:dyDescent="0.3">
      <c r="I400"/>
      <c r="J400"/>
      <c r="K400"/>
      <c r="L400"/>
      <c r="M400"/>
      <c r="N400"/>
      <c r="O400"/>
      <c r="P400"/>
      <c r="Q400"/>
    </row>
    <row r="401" spans="9:17" x14ac:dyDescent="0.3">
      <c r="I401"/>
      <c r="J401"/>
      <c r="K401"/>
      <c r="L401"/>
      <c r="M401"/>
      <c r="N401"/>
      <c r="O401"/>
      <c r="P401"/>
      <c r="Q401"/>
    </row>
    <row r="402" spans="9:17" x14ac:dyDescent="0.3">
      <c r="I402"/>
      <c r="J402"/>
      <c r="K402"/>
      <c r="L402"/>
      <c r="M402"/>
      <c r="N402"/>
      <c r="O402"/>
      <c r="P402"/>
      <c r="Q402"/>
    </row>
    <row r="403" spans="9:17" x14ac:dyDescent="0.3">
      <c r="I403"/>
      <c r="J403"/>
      <c r="K403"/>
      <c r="L403"/>
      <c r="M403"/>
      <c r="N403"/>
      <c r="O403"/>
      <c r="P403"/>
      <c r="Q403"/>
    </row>
    <row r="404" spans="9:17" x14ac:dyDescent="0.3">
      <c r="I404"/>
      <c r="J404"/>
      <c r="K404"/>
      <c r="L404"/>
      <c r="M404"/>
      <c r="N404"/>
      <c r="O404"/>
      <c r="P404"/>
      <c r="Q404"/>
    </row>
    <row r="405" spans="9:17" x14ac:dyDescent="0.3">
      <c r="I405"/>
      <c r="J405"/>
      <c r="K405"/>
      <c r="L405"/>
      <c r="M405"/>
      <c r="N405"/>
      <c r="O405"/>
      <c r="P405"/>
      <c r="Q405"/>
    </row>
    <row r="406" spans="9:17" x14ac:dyDescent="0.3">
      <c r="I406"/>
      <c r="J406"/>
      <c r="K406"/>
      <c r="L406"/>
      <c r="M406"/>
      <c r="N406"/>
      <c r="O406"/>
      <c r="P406"/>
      <c r="Q406"/>
    </row>
    <row r="407" spans="9:17" x14ac:dyDescent="0.3">
      <c r="I407"/>
      <c r="J407"/>
      <c r="K407"/>
      <c r="L407"/>
      <c r="M407"/>
      <c r="N407"/>
      <c r="O407"/>
      <c r="P407"/>
      <c r="Q407"/>
    </row>
    <row r="408" spans="9:17" x14ac:dyDescent="0.3">
      <c r="I408"/>
      <c r="J408"/>
      <c r="K408"/>
      <c r="L408"/>
      <c r="M408"/>
      <c r="N408"/>
      <c r="O408"/>
      <c r="P408"/>
      <c r="Q408"/>
    </row>
    <row r="409" spans="9:17" x14ac:dyDescent="0.3">
      <c r="I409"/>
      <c r="J409"/>
      <c r="K409"/>
      <c r="L409"/>
      <c r="M409"/>
      <c r="N409"/>
      <c r="O409"/>
      <c r="P409"/>
      <c r="Q409"/>
    </row>
    <row r="410" spans="9:17" x14ac:dyDescent="0.3">
      <c r="I410"/>
      <c r="J410"/>
      <c r="K410"/>
      <c r="L410"/>
      <c r="M410"/>
      <c r="N410"/>
      <c r="O410"/>
      <c r="P410"/>
      <c r="Q410"/>
    </row>
    <row r="411" spans="9:17" x14ac:dyDescent="0.3">
      <c r="I411"/>
      <c r="J411"/>
      <c r="K411"/>
      <c r="L411"/>
      <c r="M411"/>
      <c r="N411"/>
      <c r="O411"/>
      <c r="P411"/>
      <c r="Q411"/>
    </row>
    <row r="412" spans="9:17" x14ac:dyDescent="0.3">
      <c r="I412"/>
      <c r="J412"/>
      <c r="K412"/>
      <c r="L412"/>
      <c r="M412"/>
      <c r="N412"/>
      <c r="O412"/>
      <c r="P412"/>
      <c r="Q412"/>
    </row>
    <row r="413" spans="9:17" x14ac:dyDescent="0.3">
      <c r="I413"/>
      <c r="J413"/>
      <c r="K413"/>
      <c r="L413"/>
      <c r="M413"/>
      <c r="N413"/>
      <c r="O413"/>
      <c r="P413"/>
      <c r="Q413"/>
    </row>
    <row r="414" spans="9:17" x14ac:dyDescent="0.3">
      <c r="I414"/>
      <c r="J414"/>
      <c r="K414"/>
      <c r="L414"/>
      <c r="M414"/>
      <c r="N414"/>
      <c r="O414"/>
      <c r="P414"/>
      <c r="Q414"/>
    </row>
    <row r="415" spans="9:17" x14ac:dyDescent="0.3">
      <c r="I415"/>
      <c r="J415"/>
      <c r="K415"/>
      <c r="L415"/>
      <c r="M415"/>
      <c r="N415"/>
      <c r="O415"/>
      <c r="P415"/>
      <c r="Q415"/>
    </row>
    <row r="416" spans="9:17" x14ac:dyDescent="0.3">
      <c r="I416"/>
      <c r="J416"/>
      <c r="K416"/>
      <c r="L416"/>
      <c r="M416"/>
      <c r="N416"/>
      <c r="O416"/>
      <c r="P416"/>
      <c r="Q416"/>
    </row>
    <row r="417" spans="9:17" x14ac:dyDescent="0.3">
      <c r="I417"/>
      <c r="J417"/>
      <c r="K417"/>
      <c r="L417"/>
      <c r="M417"/>
      <c r="N417"/>
      <c r="O417"/>
      <c r="P417"/>
      <c r="Q417"/>
    </row>
    <row r="418" spans="9:17" x14ac:dyDescent="0.3">
      <c r="I418"/>
      <c r="J418"/>
      <c r="K418"/>
      <c r="L418"/>
      <c r="M418"/>
      <c r="N418"/>
      <c r="O418"/>
      <c r="P418"/>
      <c r="Q418"/>
    </row>
    <row r="419" spans="9:17" x14ac:dyDescent="0.3">
      <c r="I419"/>
      <c r="J419"/>
      <c r="K419"/>
      <c r="L419"/>
      <c r="M419"/>
      <c r="N419"/>
      <c r="O419"/>
      <c r="P419"/>
      <c r="Q419"/>
    </row>
    <row r="420" spans="9:17" x14ac:dyDescent="0.3">
      <c r="I420"/>
      <c r="J420"/>
      <c r="K420"/>
      <c r="L420"/>
      <c r="M420"/>
      <c r="N420"/>
      <c r="O420"/>
      <c r="P420"/>
      <c r="Q420"/>
    </row>
    <row r="421" spans="9:17" x14ac:dyDescent="0.3">
      <c r="I421"/>
      <c r="J421"/>
      <c r="K421"/>
      <c r="L421"/>
      <c r="M421"/>
      <c r="N421"/>
      <c r="O421"/>
      <c r="P421"/>
      <c r="Q421"/>
    </row>
    <row r="422" spans="9:17" x14ac:dyDescent="0.3">
      <c r="I422"/>
      <c r="J422"/>
      <c r="K422"/>
      <c r="L422"/>
      <c r="M422"/>
      <c r="N422"/>
      <c r="O422"/>
      <c r="P422"/>
      <c r="Q422"/>
    </row>
    <row r="423" spans="9:17" x14ac:dyDescent="0.3">
      <c r="I423"/>
      <c r="J423"/>
      <c r="K423"/>
      <c r="L423"/>
      <c r="M423"/>
      <c r="N423"/>
      <c r="O423"/>
      <c r="P423"/>
      <c r="Q423"/>
    </row>
    <row r="424" spans="9:17" x14ac:dyDescent="0.3">
      <c r="I424"/>
      <c r="J424"/>
      <c r="K424"/>
      <c r="L424"/>
      <c r="M424"/>
      <c r="N424"/>
      <c r="O424"/>
      <c r="P424"/>
      <c r="Q424"/>
    </row>
    <row r="425" spans="9:17" x14ac:dyDescent="0.3">
      <c r="I425"/>
      <c r="J425"/>
      <c r="K425"/>
      <c r="L425"/>
      <c r="M425"/>
      <c r="N425"/>
      <c r="O425"/>
      <c r="P425"/>
      <c r="Q425"/>
    </row>
    <row r="426" spans="9:17" x14ac:dyDescent="0.3">
      <c r="I426"/>
      <c r="J426"/>
      <c r="K426"/>
      <c r="L426"/>
      <c r="M426"/>
      <c r="N426"/>
      <c r="O426"/>
      <c r="P426"/>
      <c r="Q426"/>
    </row>
    <row r="427" spans="9:17" x14ac:dyDescent="0.3">
      <c r="I427"/>
      <c r="J427"/>
      <c r="K427"/>
      <c r="L427"/>
      <c r="M427"/>
      <c r="N427"/>
      <c r="O427"/>
      <c r="P427"/>
      <c r="Q427"/>
    </row>
    <row r="428" spans="9:17" x14ac:dyDescent="0.3">
      <c r="I428"/>
      <c r="J428"/>
      <c r="K428"/>
      <c r="L428"/>
      <c r="M428"/>
      <c r="N428"/>
      <c r="O428"/>
      <c r="P428"/>
      <c r="Q428"/>
    </row>
    <row r="429" spans="9:17" x14ac:dyDescent="0.3">
      <c r="I429"/>
      <c r="J429"/>
      <c r="K429"/>
      <c r="L429"/>
      <c r="M429"/>
      <c r="N429"/>
      <c r="O429"/>
      <c r="P429"/>
      <c r="Q429"/>
    </row>
    <row r="430" spans="9:17" x14ac:dyDescent="0.3">
      <c r="I430"/>
      <c r="J430"/>
      <c r="K430"/>
      <c r="L430"/>
      <c r="M430"/>
      <c r="N430"/>
      <c r="O430"/>
      <c r="P430"/>
      <c r="Q430"/>
    </row>
    <row r="431" spans="9:17" x14ac:dyDescent="0.3">
      <c r="I431"/>
      <c r="J431"/>
      <c r="K431"/>
      <c r="L431"/>
      <c r="M431"/>
      <c r="N431"/>
      <c r="O431"/>
      <c r="P431"/>
      <c r="Q431"/>
    </row>
    <row r="432" spans="9:17" x14ac:dyDescent="0.3">
      <c r="I432"/>
      <c r="J432"/>
      <c r="K432"/>
      <c r="L432"/>
      <c r="M432"/>
      <c r="N432"/>
      <c r="O432"/>
      <c r="P432"/>
      <c r="Q432"/>
    </row>
    <row r="433" spans="9:17" x14ac:dyDescent="0.3">
      <c r="I433"/>
      <c r="J433"/>
      <c r="K433"/>
      <c r="L433"/>
      <c r="M433"/>
      <c r="N433"/>
      <c r="O433"/>
      <c r="P433"/>
      <c r="Q433"/>
    </row>
    <row r="434" spans="9:17" x14ac:dyDescent="0.3">
      <c r="I434"/>
      <c r="J434"/>
      <c r="K434"/>
      <c r="L434"/>
      <c r="M434"/>
      <c r="N434"/>
      <c r="O434"/>
      <c r="P434"/>
      <c r="Q434"/>
    </row>
    <row r="435" spans="9:17" x14ac:dyDescent="0.3">
      <c r="I435"/>
      <c r="J435"/>
      <c r="K435"/>
      <c r="L435"/>
      <c r="M435"/>
      <c r="N435"/>
      <c r="O435"/>
      <c r="P435"/>
      <c r="Q435"/>
    </row>
    <row r="436" spans="9:17" x14ac:dyDescent="0.3">
      <c r="I436"/>
      <c r="J436"/>
      <c r="K436"/>
      <c r="L436"/>
      <c r="M436"/>
      <c r="N436"/>
      <c r="O436"/>
      <c r="P436"/>
      <c r="Q436"/>
    </row>
    <row r="437" spans="9:17" x14ac:dyDescent="0.3">
      <c r="I437"/>
      <c r="J437"/>
      <c r="K437"/>
      <c r="L437"/>
      <c r="M437"/>
      <c r="N437"/>
      <c r="O437"/>
      <c r="P437"/>
      <c r="Q437"/>
    </row>
    <row r="438" spans="9:17" x14ac:dyDescent="0.3">
      <c r="I438"/>
      <c r="J438"/>
      <c r="K438"/>
      <c r="L438"/>
      <c r="M438"/>
      <c r="N438"/>
      <c r="O438"/>
      <c r="P438"/>
      <c r="Q438"/>
    </row>
    <row r="439" spans="9:17" x14ac:dyDescent="0.3">
      <c r="I439"/>
      <c r="J439"/>
      <c r="K439"/>
      <c r="L439"/>
      <c r="M439"/>
      <c r="N439"/>
      <c r="O439"/>
      <c r="P439"/>
      <c r="Q439"/>
    </row>
    <row r="440" spans="9:17" x14ac:dyDescent="0.3">
      <c r="I440"/>
      <c r="J440"/>
      <c r="K440"/>
      <c r="L440"/>
      <c r="M440"/>
      <c r="N440"/>
      <c r="O440"/>
      <c r="P440"/>
      <c r="Q440"/>
    </row>
    <row r="441" spans="9:17" x14ac:dyDescent="0.3">
      <c r="I441"/>
      <c r="J441"/>
      <c r="K441"/>
      <c r="L441"/>
      <c r="M441"/>
      <c r="N441"/>
      <c r="O441"/>
      <c r="P441"/>
      <c r="Q441"/>
    </row>
    <row r="442" spans="9:17" x14ac:dyDescent="0.3">
      <c r="I442"/>
      <c r="J442"/>
      <c r="K442"/>
      <c r="L442"/>
      <c r="M442"/>
      <c r="N442"/>
      <c r="O442"/>
      <c r="P442"/>
      <c r="Q442"/>
    </row>
    <row r="443" spans="9:17" x14ac:dyDescent="0.3">
      <c r="I443"/>
      <c r="J443"/>
      <c r="K443"/>
      <c r="L443"/>
      <c r="M443"/>
      <c r="N443"/>
      <c r="O443"/>
      <c r="P443"/>
      <c r="Q443"/>
    </row>
    <row r="444" spans="9:17" x14ac:dyDescent="0.3">
      <c r="I444"/>
      <c r="J444"/>
      <c r="K444"/>
      <c r="L444"/>
      <c r="M444"/>
      <c r="N444"/>
      <c r="O444"/>
      <c r="P444"/>
      <c r="Q444"/>
    </row>
    <row r="445" spans="9:17" x14ac:dyDescent="0.3">
      <c r="I445"/>
      <c r="J445"/>
      <c r="K445"/>
      <c r="L445"/>
      <c r="M445"/>
      <c r="N445"/>
      <c r="O445"/>
      <c r="P445"/>
      <c r="Q445"/>
    </row>
    <row r="446" spans="9:17" x14ac:dyDescent="0.3">
      <c r="I446"/>
      <c r="J446"/>
      <c r="K446"/>
      <c r="L446"/>
      <c r="M446"/>
      <c r="N446"/>
      <c r="O446"/>
      <c r="P446"/>
      <c r="Q446"/>
    </row>
    <row r="447" spans="9:17" x14ac:dyDescent="0.3">
      <c r="I447"/>
      <c r="J447"/>
      <c r="K447"/>
      <c r="L447"/>
      <c r="M447"/>
      <c r="N447"/>
      <c r="O447"/>
      <c r="P447"/>
      <c r="Q447"/>
    </row>
    <row r="448" spans="9:17" x14ac:dyDescent="0.3">
      <c r="I448"/>
      <c r="J448"/>
      <c r="K448"/>
      <c r="L448"/>
      <c r="M448"/>
      <c r="N448"/>
      <c r="O448"/>
      <c r="P448"/>
      <c r="Q448"/>
    </row>
    <row r="449" spans="9:17" x14ac:dyDescent="0.3">
      <c r="I449"/>
      <c r="J449"/>
      <c r="K449"/>
      <c r="L449"/>
      <c r="M449"/>
      <c r="N449"/>
      <c r="O449"/>
      <c r="P449"/>
      <c r="Q449"/>
    </row>
    <row r="450" spans="9:17" x14ac:dyDescent="0.3">
      <c r="I450"/>
      <c r="J450"/>
      <c r="K450"/>
      <c r="L450"/>
      <c r="M450"/>
      <c r="N450"/>
      <c r="O450"/>
      <c r="P450"/>
      <c r="Q450"/>
    </row>
    <row r="451" spans="9:17" x14ac:dyDescent="0.3">
      <c r="I451"/>
      <c r="J451"/>
      <c r="K451"/>
      <c r="L451"/>
      <c r="M451"/>
      <c r="N451"/>
      <c r="O451"/>
      <c r="P451"/>
      <c r="Q451"/>
    </row>
    <row r="452" spans="9:17" x14ac:dyDescent="0.3">
      <c r="I452"/>
      <c r="J452"/>
      <c r="K452"/>
      <c r="L452"/>
      <c r="M452"/>
      <c r="N452"/>
      <c r="O452"/>
      <c r="P452"/>
      <c r="Q452"/>
    </row>
    <row r="453" spans="9:17" x14ac:dyDescent="0.3">
      <c r="I453"/>
      <c r="J453"/>
      <c r="K453"/>
      <c r="L453"/>
      <c r="M453"/>
      <c r="N453"/>
      <c r="O453"/>
      <c r="P453"/>
      <c r="Q453"/>
    </row>
    <row r="454" spans="9:17" x14ac:dyDescent="0.3">
      <c r="I454"/>
      <c r="J454"/>
      <c r="K454"/>
      <c r="L454"/>
      <c r="M454"/>
      <c r="N454"/>
      <c r="O454"/>
      <c r="P454"/>
      <c r="Q454"/>
    </row>
    <row r="455" spans="9:17" x14ac:dyDescent="0.3">
      <c r="I455"/>
      <c r="J455"/>
      <c r="K455"/>
      <c r="L455"/>
      <c r="M455"/>
      <c r="N455"/>
      <c r="O455"/>
      <c r="P455"/>
      <c r="Q455"/>
    </row>
    <row r="456" spans="9:17" x14ac:dyDescent="0.3">
      <c r="I456"/>
      <c r="J456"/>
      <c r="K456"/>
      <c r="L456"/>
      <c r="M456"/>
      <c r="N456"/>
      <c r="O456"/>
      <c r="P456"/>
      <c r="Q456"/>
    </row>
    <row r="457" spans="9:17" x14ac:dyDescent="0.3">
      <c r="I457"/>
      <c r="J457"/>
      <c r="K457"/>
      <c r="L457"/>
      <c r="M457"/>
      <c r="N457"/>
      <c r="O457"/>
      <c r="P457"/>
      <c r="Q457"/>
    </row>
    <row r="458" spans="9:17" x14ac:dyDescent="0.3">
      <c r="I458"/>
      <c r="J458"/>
      <c r="K458"/>
      <c r="L458"/>
      <c r="M458"/>
      <c r="N458"/>
      <c r="O458"/>
      <c r="P458"/>
      <c r="Q458"/>
    </row>
    <row r="459" spans="9:17" x14ac:dyDescent="0.3">
      <c r="I459"/>
      <c r="J459"/>
      <c r="K459"/>
      <c r="L459"/>
      <c r="M459"/>
      <c r="N459"/>
      <c r="O459"/>
      <c r="P459"/>
      <c r="Q459"/>
    </row>
    <row r="460" spans="9:17" x14ac:dyDescent="0.3">
      <c r="I460"/>
      <c r="J460"/>
      <c r="K460"/>
      <c r="L460"/>
      <c r="M460"/>
      <c r="N460"/>
      <c r="O460"/>
      <c r="P460"/>
      <c r="Q460"/>
    </row>
    <row r="461" spans="9:17" x14ac:dyDescent="0.3">
      <c r="I461"/>
      <c r="J461"/>
      <c r="K461"/>
      <c r="L461"/>
      <c r="M461"/>
      <c r="N461"/>
      <c r="O461"/>
      <c r="P461"/>
      <c r="Q461"/>
    </row>
    <row r="462" spans="9:17" x14ac:dyDescent="0.3">
      <c r="I462"/>
      <c r="J462"/>
      <c r="K462"/>
      <c r="L462"/>
      <c r="M462"/>
      <c r="N462"/>
      <c r="O462"/>
      <c r="P462"/>
      <c r="Q462"/>
    </row>
    <row r="463" spans="9:17" x14ac:dyDescent="0.3">
      <c r="I463"/>
      <c r="J463"/>
      <c r="K463"/>
      <c r="L463"/>
      <c r="M463"/>
      <c r="N463"/>
      <c r="O463"/>
      <c r="P463"/>
      <c r="Q463"/>
    </row>
    <row r="464" spans="9:17" x14ac:dyDescent="0.3">
      <c r="I464"/>
      <c r="J464"/>
      <c r="K464"/>
      <c r="L464"/>
      <c r="M464"/>
      <c r="N464"/>
      <c r="O464"/>
      <c r="P464"/>
      <c r="Q464"/>
    </row>
    <row r="465" spans="9:17" x14ac:dyDescent="0.3">
      <c r="I465"/>
      <c r="J465"/>
      <c r="K465"/>
      <c r="L465"/>
      <c r="M465"/>
      <c r="N465"/>
      <c r="O465"/>
      <c r="P465"/>
      <c r="Q465"/>
    </row>
    <row r="466" spans="9:17" x14ac:dyDescent="0.3">
      <c r="I466"/>
      <c r="J466"/>
      <c r="K466"/>
      <c r="L466"/>
      <c r="M466"/>
      <c r="N466"/>
      <c r="O466"/>
      <c r="P466"/>
      <c r="Q466"/>
    </row>
    <row r="467" spans="9:17" x14ac:dyDescent="0.3">
      <c r="I467"/>
      <c r="J467"/>
      <c r="K467"/>
      <c r="L467"/>
      <c r="M467"/>
      <c r="N467"/>
      <c r="O467"/>
      <c r="P467"/>
      <c r="Q467"/>
    </row>
    <row r="468" spans="9:17" x14ac:dyDescent="0.3">
      <c r="I468"/>
      <c r="J468"/>
      <c r="K468"/>
      <c r="L468"/>
      <c r="M468"/>
      <c r="N468"/>
      <c r="O468"/>
      <c r="P468"/>
      <c r="Q468"/>
    </row>
    <row r="469" spans="9:17" x14ac:dyDescent="0.3">
      <c r="I469"/>
      <c r="J469"/>
      <c r="K469"/>
      <c r="L469"/>
      <c r="M469"/>
      <c r="N469"/>
      <c r="O469"/>
      <c r="P469"/>
      <c r="Q469"/>
    </row>
    <row r="470" spans="9:17" x14ac:dyDescent="0.3">
      <c r="I470"/>
      <c r="J470"/>
      <c r="K470"/>
      <c r="L470"/>
      <c r="M470"/>
      <c r="N470"/>
      <c r="O470"/>
      <c r="P470"/>
      <c r="Q470"/>
    </row>
    <row r="471" spans="9:17" x14ac:dyDescent="0.3">
      <c r="I471"/>
      <c r="J471"/>
      <c r="K471"/>
      <c r="L471"/>
      <c r="M471"/>
      <c r="N471"/>
      <c r="O471"/>
      <c r="P471"/>
      <c r="Q471"/>
    </row>
    <row r="472" spans="9:17" x14ac:dyDescent="0.3">
      <c r="I472"/>
      <c r="J472"/>
      <c r="K472"/>
      <c r="L472"/>
      <c r="M472"/>
      <c r="N472"/>
      <c r="O472"/>
      <c r="P472"/>
      <c r="Q472"/>
    </row>
    <row r="473" spans="9:17" x14ac:dyDescent="0.3">
      <c r="I473"/>
      <c r="J473"/>
      <c r="K473"/>
      <c r="L473"/>
      <c r="M473"/>
      <c r="N473"/>
      <c r="O473"/>
      <c r="P473"/>
      <c r="Q473"/>
    </row>
    <row r="474" spans="9:17" x14ac:dyDescent="0.3">
      <c r="I474"/>
      <c r="J474"/>
      <c r="K474"/>
      <c r="L474"/>
      <c r="M474"/>
      <c r="N474"/>
      <c r="O474"/>
      <c r="P474"/>
      <c r="Q474"/>
    </row>
    <row r="475" spans="9:17" x14ac:dyDescent="0.3">
      <c r="I475"/>
      <c r="J475"/>
      <c r="K475"/>
      <c r="L475"/>
      <c r="M475"/>
      <c r="N475"/>
      <c r="O475"/>
      <c r="P475"/>
      <c r="Q475"/>
    </row>
    <row r="476" spans="9:17" x14ac:dyDescent="0.3">
      <c r="I476"/>
      <c r="J476"/>
      <c r="K476"/>
      <c r="L476"/>
      <c r="M476"/>
      <c r="N476"/>
      <c r="O476"/>
      <c r="P476"/>
      <c r="Q476"/>
    </row>
    <row r="477" spans="9:17" x14ac:dyDescent="0.3">
      <c r="I477"/>
      <c r="J477"/>
      <c r="K477"/>
      <c r="L477"/>
      <c r="M477"/>
      <c r="N477"/>
      <c r="O477"/>
      <c r="P477"/>
      <c r="Q477"/>
    </row>
    <row r="478" spans="9:17" x14ac:dyDescent="0.3">
      <c r="I478"/>
      <c r="J478"/>
      <c r="K478"/>
      <c r="L478"/>
      <c r="M478"/>
      <c r="N478"/>
      <c r="O478"/>
      <c r="P478"/>
      <c r="Q478"/>
    </row>
    <row r="479" spans="9:17" x14ac:dyDescent="0.3">
      <c r="I479"/>
      <c r="J479"/>
      <c r="K479"/>
      <c r="L479"/>
      <c r="M479"/>
      <c r="N479"/>
      <c r="O479"/>
      <c r="P479"/>
      <c r="Q479"/>
    </row>
    <row r="480" spans="9:17" x14ac:dyDescent="0.3">
      <c r="I480"/>
      <c r="J480"/>
      <c r="K480"/>
      <c r="L480"/>
      <c r="M480"/>
      <c r="N480"/>
      <c r="O480"/>
      <c r="P480"/>
      <c r="Q480"/>
    </row>
    <row r="481" spans="9:17" x14ac:dyDescent="0.3">
      <c r="I481"/>
      <c r="J481"/>
      <c r="K481"/>
      <c r="L481"/>
      <c r="M481"/>
      <c r="N481"/>
      <c r="O481"/>
      <c r="P481"/>
      <c r="Q481"/>
    </row>
    <row r="482" spans="9:17" x14ac:dyDescent="0.3">
      <c r="I482"/>
      <c r="J482"/>
      <c r="K482"/>
      <c r="L482"/>
      <c r="M482"/>
      <c r="N482"/>
      <c r="O482"/>
      <c r="P482"/>
      <c r="Q482"/>
    </row>
    <row r="483" spans="9:17" x14ac:dyDescent="0.3">
      <c r="I483"/>
      <c r="J483"/>
      <c r="K483"/>
      <c r="L483"/>
      <c r="M483"/>
      <c r="N483"/>
      <c r="O483"/>
      <c r="P483"/>
      <c r="Q483"/>
    </row>
    <row r="484" spans="9:17" x14ac:dyDescent="0.3">
      <c r="I484"/>
      <c r="J484"/>
      <c r="K484"/>
      <c r="L484"/>
      <c r="M484"/>
      <c r="N484"/>
      <c r="O484"/>
      <c r="P484"/>
      <c r="Q484"/>
    </row>
    <row r="485" spans="9:17" x14ac:dyDescent="0.3">
      <c r="I485"/>
      <c r="J485"/>
      <c r="K485"/>
      <c r="L485"/>
      <c r="M485"/>
      <c r="N485"/>
      <c r="O485"/>
      <c r="P485"/>
      <c r="Q485"/>
    </row>
    <row r="486" spans="9:17" x14ac:dyDescent="0.3">
      <c r="I486"/>
      <c r="J486"/>
      <c r="K486"/>
      <c r="L486"/>
      <c r="M486"/>
      <c r="N486"/>
      <c r="O486"/>
      <c r="P486"/>
      <c r="Q486"/>
    </row>
    <row r="487" spans="9:17" x14ac:dyDescent="0.3">
      <c r="I487"/>
      <c r="J487"/>
      <c r="K487"/>
      <c r="L487"/>
      <c r="M487"/>
      <c r="N487"/>
      <c r="O487"/>
      <c r="P487"/>
      <c r="Q487"/>
    </row>
    <row r="488" spans="9:17" x14ac:dyDescent="0.3">
      <c r="I488"/>
      <c r="J488"/>
      <c r="K488"/>
      <c r="L488"/>
      <c r="M488"/>
      <c r="N488"/>
      <c r="O488"/>
      <c r="P488"/>
      <c r="Q488"/>
    </row>
    <row r="489" spans="9:17" x14ac:dyDescent="0.3">
      <c r="I489"/>
      <c r="J489"/>
      <c r="K489"/>
      <c r="L489"/>
      <c r="M489"/>
      <c r="N489"/>
      <c r="O489"/>
      <c r="P489"/>
      <c r="Q489"/>
    </row>
    <row r="490" spans="9:17" x14ac:dyDescent="0.3">
      <c r="I490"/>
      <c r="J490"/>
      <c r="K490"/>
      <c r="L490"/>
      <c r="M490"/>
      <c r="N490"/>
      <c r="O490"/>
      <c r="P490"/>
      <c r="Q490"/>
    </row>
    <row r="491" spans="9:17" x14ac:dyDescent="0.3">
      <c r="I491"/>
      <c r="J491"/>
      <c r="K491"/>
      <c r="L491"/>
      <c r="M491"/>
      <c r="N491"/>
      <c r="O491"/>
      <c r="P491"/>
      <c r="Q491"/>
    </row>
    <row r="492" spans="9:17" x14ac:dyDescent="0.3">
      <c r="I492"/>
      <c r="J492"/>
      <c r="K492"/>
      <c r="L492"/>
      <c r="M492"/>
      <c r="N492"/>
      <c r="O492"/>
      <c r="P492"/>
      <c r="Q492"/>
    </row>
    <row r="493" spans="9:17" x14ac:dyDescent="0.3">
      <c r="I493"/>
      <c r="J493"/>
      <c r="K493"/>
      <c r="L493"/>
      <c r="M493"/>
      <c r="N493"/>
      <c r="O493"/>
      <c r="P493"/>
      <c r="Q493"/>
    </row>
    <row r="494" spans="9:17" x14ac:dyDescent="0.3">
      <c r="I494"/>
      <c r="J494"/>
      <c r="K494"/>
      <c r="L494"/>
      <c r="M494"/>
      <c r="N494"/>
      <c r="O494"/>
      <c r="P494"/>
      <c r="Q494"/>
    </row>
    <row r="495" spans="9:17" x14ac:dyDescent="0.3">
      <c r="I495"/>
      <c r="J495"/>
      <c r="K495"/>
      <c r="L495"/>
      <c r="M495"/>
      <c r="N495"/>
      <c r="O495"/>
      <c r="P495"/>
      <c r="Q495"/>
    </row>
    <row r="496" spans="9:17" x14ac:dyDescent="0.3">
      <c r="I496"/>
      <c r="J496"/>
      <c r="K496"/>
      <c r="L496"/>
      <c r="M496"/>
      <c r="N496"/>
      <c r="O496"/>
      <c r="P496"/>
      <c r="Q496"/>
    </row>
    <row r="497" spans="9:17" x14ac:dyDescent="0.3">
      <c r="I497"/>
      <c r="J497"/>
      <c r="K497"/>
      <c r="L497"/>
      <c r="M497"/>
      <c r="N497"/>
      <c r="O497"/>
      <c r="P497"/>
      <c r="Q497"/>
    </row>
    <row r="498" spans="9:17" x14ac:dyDescent="0.3">
      <c r="I498"/>
      <c r="J498"/>
      <c r="K498"/>
      <c r="L498"/>
      <c r="M498"/>
      <c r="N498"/>
      <c r="O498"/>
      <c r="P498"/>
      <c r="Q498"/>
    </row>
    <row r="499" spans="9:17" x14ac:dyDescent="0.3">
      <c r="I499"/>
      <c r="J499"/>
      <c r="K499"/>
      <c r="L499"/>
      <c r="M499"/>
      <c r="N499"/>
      <c r="O499"/>
      <c r="P499"/>
      <c r="Q499"/>
    </row>
    <row r="500" spans="9:17" x14ac:dyDescent="0.3">
      <c r="I500"/>
      <c r="J500"/>
      <c r="K500"/>
      <c r="L500"/>
      <c r="M500"/>
      <c r="N500"/>
      <c r="O500"/>
      <c r="P500"/>
      <c r="Q500"/>
    </row>
    <row r="501" spans="9:17" x14ac:dyDescent="0.3">
      <c r="I501"/>
      <c r="J501"/>
      <c r="K501"/>
      <c r="L501"/>
      <c r="M501"/>
      <c r="N501"/>
      <c r="O501"/>
      <c r="P501"/>
      <c r="Q501"/>
    </row>
    <row r="502" spans="9:17" x14ac:dyDescent="0.3">
      <c r="I502"/>
      <c r="J502"/>
      <c r="K502"/>
      <c r="L502"/>
      <c r="M502"/>
      <c r="N502"/>
      <c r="O502"/>
      <c r="P502"/>
      <c r="Q502"/>
    </row>
    <row r="503" spans="9:17" x14ac:dyDescent="0.3">
      <c r="I503"/>
      <c r="J503"/>
      <c r="K503"/>
      <c r="L503"/>
      <c r="M503"/>
      <c r="N503"/>
      <c r="O503"/>
      <c r="P503"/>
      <c r="Q503"/>
    </row>
    <row r="504" spans="9:17" x14ac:dyDescent="0.3">
      <c r="I504"/>
      <c r="J504"/>
      <c r="K504"/>
      <c r="L504"/>
      <c r="M504"/>
      <c r="N504"/>
      <c r="O504"/>
      <c r="P504"/>
      <c r="Q504"/>
    </row>
    <row r="505" spans="9:17" x14ac:dyDescent="0.3">
      <c r="I505"/>
      <c r="J505"/>
      <c r="K505"/>
      <c r="L505"/>
      <c r="M505"/>
      <c r="N505"/>
      <c r="O505"/>
      <c r="P505"/>
      <c r="Q505"/>
    </row>
    <row r="506" spans="9:17" x14ac:dyDescent="0.3">
      <c r="I506"/>
      <c r="J506"/>
      <c r="K506"/>
      <c r="L506"/>
      <c r="M506"/>
      <c r="N506"/>
      <c r="O506"/>
      <c r="P506"/>
      <c r="Q506"/>
    </row>
    <row r="507" spans="9:17" x14ac:dyDescent="0.3">
      <c r="I507"/>
      <c r="J507"/>
      <c r="K507"/>
      <c r="L507"/>
      <c r="M507"/>
      <c r="N507"/>
      <c r="O507"/>
      <c r="P507"/>
      <c r="Q507"/>
    </row>
    <row r="508" spans="9:17" x14ac:dyDescent="0.3">
      <c r="I508"/>
      <c r="J508"/>
      <c r="K508"/>
      <c r="L508"/>
      <c r="M508"/>
      <c r="N508"/>
      <c r="O508"/>
      <c r="P508"/>
      <c r="Q508"/>
    </row>
    <row r="509" spans="9:17" x14ac:dyDescent="0.3">
      <c r="I509"/>
      <c r="J509"/>
      <c r="K509"/>
      <c r="L509"/>
      <c r="M509"/>
      <c r="N509"/>
      <c r="O509"/>
      <c r="P509"/>
      <c r="Q509"/>
    </row>
    <row r="510" spans="9:17" x14ac:dyDescent="0.3">
      <c r="I510"/>
      <c r="J510"/>
      <c r="K510"/>
      <c r="L510"/>
      <c r="M510"/>
      <c r="N510"/>
      <c r="O510"/>
      <c r="P510"/>
      <c r="Q510"/>
    </row>
    <row r="511" spans="9:17" x14ac:dyDescent="0.3">
      <c r="I511"/>
      <c r="J511"/>
      <c r="K511"/>
      <c r="L511"/>
      <c r="M511"/>
      <c r="N511"/>
      <c r="O511"/>
      <c r="P511"/>
      <c r="Q511"/>
    </row>
    <row r="512" spans="9:17" x14ac:dyDescent="0.3">
      <c r="I512"/>
      <c r="J512"/>
      <c r="K512"/>
      <c r="L512"/>
      <c r="M512"/>
      <c r="N512"/>
      <c r="O512"/>
      <c r="P512"/>
      <c r="Q512"/>
    </row>
    <row r="513" spans="9:17" x14ac:dyDescent="0.3">
      <c r="I513"/>
      <c r="J513"/>
      <c r="K513"/>
      <c r="L513"/>
      <c r="M513"/>
      <c r="N513"/>
      <c r="O513"/>
      <c r="P513"/>
      <c r="Q513"/>
    </row>
    <row r="514" spans="9:17" x14ac:dyDescent="0.3">
      <c r="I514"/>
      <c r="J514"/>
      <c r="K514"/>
      <c r="L514"/>
      <c r="M514"/>
      <c r="N514"/>
      <c r="O514"/>
      <c r="P514"/>
      <c r="Q514"/>
    </row>
    <row r="515" spans="9:17" x14ac:dyDescent="0.3">
      <c r="I515"/>
      <c r="J515"/>
      <c r="K515"/>
      <c r="L515"/>
      <c r="M515"/>
      <c r="N515"/>
      <c r="O515"/>
      <c r="P515"/>
      <c r="Q515"/>
    </row>
    <row r="516" spans="9:17" x14ac:dyDescent="0.3">
      <c r="I516"/>
      <c r="J516"/>
      <c r="K516"/>
      <c r="L516"/>
      <c r="M516"/>
      <c r="N516"/>
      <c r="O516"/>
      <c r="P516"/>
      <c r="Q516"/>
    </row>
    <row r="517" spans="9:17" x14ac:dyDescent="0.3">
      <c r="I517"/>
      <c r="J517"/>
      <c r="K517"/>
      <c r="L517"/>
      <c r="M517"/>
      <c r="N517"/>
      <c r="O517"/>
      <c r="P517"/>
      <c r="Q517"/>
    </row>
    <row r="518" spans="9:17" x14ac:dyDescent="0.3">
      <c r="I518"/>
      <c r="J518"/>
      <c r="K518"/>
      <c r="L518"/>
      <c r="M518"/>
      <c r="N518"/>
      <c r="O518"/>
      <c r="P518"/>
      <c r="Q518"/>
    </row>
    <row r="519" spans="9:17" x14ac:dyDescent="0.3">
      <c r="I519"/>
      <c r="J519"/>
      <c r="K519"/>
      <c r="L519"/>
      <c r="M519"/>
      <c r="N519"/>
      <c r="O519"/>
      <c r="P519"/>
      <c r="Q519"/>
    </row>
    <row r="520" spans="9:17" x14ac:dyDescent="0.3">
      <c r="I520"/>
      <c r="J520"/>
      <c r="K520"/>
      <c r="L520"/>
      <c r="M520"/>
      <c r="N520"/>
      <c r="O520"/>
      <c r="P520"/>
      <c r="Q520"/>
    </row>
    <row r="521" spans="9:17" x14ac:dyDescent="0.3">
      <c r="I521"/>
      <c r="J521"/>
      <c r="K521"/>
      <c r="L521"/>
      <c r="M521"/>
      <c r="N521"/>
      <c r="O521"/>
      <c r="P521"/>
      <c r="Q521"/>
    </row>
    <row r="522" spans="9:17" x14ac:dyDescent="0.3">
      <c r="I522"/>
      <c r="J522"/>
      <c r="K522"/>
      <c r="L522"/>
      <c r="M522"/>
      <c r="N522"/>
      <c r="O522"/>
      <c r="P522"/>
      <c r="Q522"/>
    </row>
    <row r="523" spans="9:17" x14ac:dyDescent="0.3">
      <c r="I523"/>
      <c r="J523"/>
      <c r="K523"/>
      <c r="L523"/>
      <c r="M523"/>
      <c r="N523"/>
      <c r="O523"/>
      <c r="P523"/>
      <c r="Q523"/>
    </row>
    <row r="524" spans="9:17" x14ac:dyDescent="0.3">
      <c r="I524"/>
      <c r="J524"/>
      <c r="K524"/>
      <c r="L524"/>
      <c r="M524"/>
      <c r="N524"/>
      <c r="O524"/>
      <c r="P524"/>
      <c r="Q524"/>
    </row>
    <row r="525" spans="9:17" x14ac:dyDescent="0.3">
      <c r="I525"/>
      <c r="J525"/>
      <c r="K525"/>
      <c r="L525"/>
      <c r="M525"/>
      <c r="N525"/>
      <c r="O525"/>
      <c r="P525"/>
      <c r="Q525"/>
    </row>
    <row r="526" spans="9:17" x14ac:dyDescent="0.3">
      <c r="I526"/>
      <c r="J526"/>
      <c r="K526"/>
      <c r="L526"/>
      <c r="M526"/>
      <c r="N526"/>
      <c r="O526"/>
      <c r="P526"/>
      <c r="Q526"/>
    </row>
    <row r="527" spans="9:17" x14ac:dyDescent="0.3">
      <c r="I527"/>
      <c r="J527"/>
      <c r="K527"/>
      <c r="L527"/>
      <c r="M527"/>
      <c r="N527"/>
      <c r="O527"/>
      <c r="P527"/>
      <c r="Q527"/>
    </row>
    <row r="528" spans="9:17" x14ac:dyDescent="0.3">
      <c r="I528"/>
      <c r="J528"/>
      <c r="K528"/>
      <c r="L528"/>
      <c r="M528"/>
      <c r="N528"/>
      <c r="O528"/>
      <c r="P528"/>
      <c r="Q528"/>
    </row>
    <row r="529" spans="9:17" x14ac:dyDescent="0.3">
      <c r="I529"/>
      <c r="J529"/>
      <c r="K529"/>
      <c r="L529"/>
      <c r="M529"/>
      <c r="N529"/>
      <c r="O529"/>
      <c r="P529"/>
      <c r="Q529"/>
    </row>
    <row r="530" spans="9:17" x14ac:dyDescent="0.3">
      <c r="I530"/>
      <c r="J530"/>
      <c r="K530"/>
      <c r="L530"/>
      <c r="M530"/>
      <c r="N530"/>
      <c r="O530"/>
      <c r="P530"/>
      <c r="Q530"/>
    </row>
    <row r="531" spans="9:17" x14ac:dyDescent="0.3">
      <c r="I531"/>
      <c r="J531"/>
      <c r="K531"/>
      <c r="L531"/>
      <c r="M531"/>
      <c r="N531"/>
      <c r="O531"/>
      <c r="P531"/>
      <c r="Q531"/>
    </row>
    <row r="532" spans="9:17" x14ac:dyDescent="0.3">
      <c r="I532"/>
      <c r="J532"/>
      <c r="K532"/>
      <c r="L532"/>
      <c r="M532"/>
      <c r="N532"/>
      <c r="O532"/>
      <c r="P532"/>
      <c r="Q532"/>
    </row>
    <row r="533" spans="9:17" x14ac:dyDescent="0.3">
      <c r="I533"/>
      <c r="J533"/>
      <c r="K533"/>
      <c r="L533"/>
      <c r="M533"/>
      <c r="N533"/>
      <c r="O533"/>
      <c r="P533"/>
      <c r="Q533"/>
    </row>
    <row r="534" spans="9:17" x14ac:dyDescent="0.3">
      <c r="I534"/>
      <c r="J534"/>
      <c r="K534"/>
      <c r="L534"/>
      <c r="M534"/>
      <c r="N534"/>
      <c r="O534"/>
      <c r="P534"/>
      <c r="Q534"/>
    </row>
    <row r="535" spans="9:17" x14ac:dyDescent="0.3">
      <c r="I535"/>
      <c r="J535"/>
      <c r="K535"/>
      <c r="L535"/>
      <c r="M535"/>
      <c r="N535"/>
      <c r="O535"/>
      <c r="P535"/>
      <c r="Q535"/>
    </row>
    <row r="536" spans="9:17" x14ac:dyDescent="0.3">
      <c r="I536"/>
      <c r="J536"/>
      <c r="K536"/>
      <c r="L536"/>
      <c r="M536"/>
      <c r="N536"/>
      <c r="O536"/>
      <c r="P536"/>
      <c r="Q536"/>
    </row>
    <row r="537" spans="9:17" x14ac:dyDescent="0.3">
      <c r="I537"/>
      <c r="J537"/>
      <c r="K537"/>
      <c r="L537"/>
      <c r="M537"/>
      <c r="N537"/>
      <c r="O537"/>
      <c r="P537"/>
      <c r="Q537"/>
    </row>
    <row r="538" spans="9:17" x14ac:dyDescent="0.3">
      <c r="I538"/>
      <c r="J538"/>
      <c r="K538"/>
      <c r="L538"/>
      <c r="M538"/>
      <c r="N538"/>
      <c r="O538"/>
      <c r="P538"/>
      <c r="Q538"/>
    </row>
    <row r="539" spans="9:17" x14ac:dyDescent="0.3">
      <c r="I539"/>
      <c r="J539"/>
      <c r="K539"/>
      <c r="L539"/>
      <c r="M539"/>
      <c r="N539"/>
      <c r="O539"/>
      <c r="P539"/>
      <c r="Q539"/>
    </row>
    <row r="540" spans="9:17" x14ac:dyDescent="0.3">
      <c r="I540"/>
      <c r="J540"/>
      <c r="K540"/>
      <c r="L540"/>
      <c r="M540"/>
      <c r="N540"/>
      <c r="O540"/>
      <c r="P540"/>
      <c r="Q540"/>
    </row>
    <row r="541" spans="9:17" x14ac:dyDescent="0.3">
      <c r="I541"/>
      <c r="J541"/>
      <c r="K541"/>
      <c r="L541"/>
      <c r="M541"/>
      <c r="N541"/>
      <c r="O541"/>
      <c r="P541"/>
      <c r="Q541"/>
    </row>
    <row r="542" spans="9:17" x14ac:dyDescent="0.3">
      <c r="I542"/>
      <c r="J542"/>
      <c r="K542"/>
      <c r="L542"/>
      <c r="M542"/>
      <c r="N542"/>
      <c r="O542"/>
      <c r="P542"/>
      <c r="Q542"/>
    </row>
    <row r="543" spans="9:17" x14ac:dyDescent="0.3">
      <c r="I543"/>
      <c r="J543"/>
      <c r="K543"/>
      <c r="L543"/>
      <c r="M543"/>
      <c r="N543"/>
      <c r="O543"/>
      <c r="P543"/>
      <c r="Q543"/>
    </row>
    <row r="544" spans="9:17" x14ac:dyDescent="0.3">
      <c r="I544"/>
      <c r="J544"/>
      <c r="K544"/>
      <c r="L544"/>
      <c r="M544"/>
      <c r="N544"/>
      <c r="O544"/>
      <c r="P544"/>
      <c r="Q544"/>
    </row>
    <row r="545" spans="9:17" x14ac:dyDescent="0.3">
      <c r="I545"/>
      <c r="J545"/>
      <c r="K545"/>
      <c r="L545"/>
      <c r="M545"/>
      <c r="N545"/>
      <c r="O545"/>
      <c r="P545"/>
      <c r="Q545"/>
    </row>
    <row r="546" spans="9:17" x14ac:dyDescent="0.3">
      <c r="I546"/>
      <c r="J546"/>
      <c r="K546"/>
      <c r="L546"/>
      <c r="M546"/>
      <c r="N546"/>
      <c r="O546"/>
      <c r="P546"/>
      <c r="Q546"/>
    </row>
    <row r="547" spans="9:17" x14ac:dyDescent="0.3">
      <c r="I547"/>
      <c r="J547"/>
      <c r="K547"/>
      <c r="L547"/>
      <c r="M547"/>
      <c r="N547"/>
      <c r="O547"/>
      <c r="P547"/>
      <c r="Q547"/>
    </row>
    <row r="548" spans="9:17" x14ac:dyDescent="0.3">
      <c r="I548"/>
      <c r="J548"/>
      <c r="K548"/>
      <c r="L548"/>
      <c r="M548"/>
      <c r="N548"/>
      <c r="O548"/>
      <c r="P548"/>
      <c r="Q548"/>
    </row>
    <row r="549" spans="9:17" x14ac:dyDescent="0.3">
      <c r="I549"/>
      <c r="J549"/>
      <c r="K549"/>
      <c r="L549"/>
      <c r="M549"/>
      <c r="N549"/>
      <c r="O549"/>
      <c r="P549"/>
      <c r="Q549"/>
    </row>
    <row r="550" spans="9:17" x14ac:dyDescent="0.3">
      <c r="I550"/>
      <c r="J550"/>
      <c r="K550"/>
      <c r="L550"/>
      <c r="M550"/>
      <c r="N550"/>
      <c r="O550"/>
      <c r="P550"/>
      <c r="Q550"/>
    </row>
    <row r="551" spans="9:17" x14ac:dyDescent="0.3">
      <c r="I551"/>
      <c r="J551"/>
      <c r="K551"/>
      <c r="L551"/>
      <c r="M551"/>
      <c r="N551"/>
      <c r="O551"/>
      <c r="P551"/>
      <c r="Q551"/>
    </row>
    <row r="552" spans="9:17" x14ac:dyDescent="0.3">
      <c r="I552"/>
      <c r="J552"/>
      <c r="K552"/>
      <c r="L552"/>
      <c r="M552"/>
      <c r="N552"/>
      <c r="O552"/>
      <c r="P552"/>
      <c r="Q552"/>
    </row>
    <row r="553" spans="9:17" x14ac:dyDescent="0.3">
      <c r="I553"/>
      <c r="J553"/>
      <c r="K553"/>
      <c r="L553"/>
      <c r="M553"/>
      <c r="N553"/>
      <c r="O553"/>
      <c r="P553"/>
      <c r="Q553"/>
    </row>
    <row r="554" spans="9:17" x14ac:dyDescent="0.3">
      <c r="I554"/>
      <c r="J554"/>
      <c r="K554"/>
      <c r="L554"/>
      <c r="M554"/>
      <c r="N554"/>
      <c r="O554"/>
      <c r="P554"/>
      <c r="Q554"/>
    </row>
    <row r="555" spans="9:17" x14ac:dyDescent="0.3">
      <c r="I555"/>
      <c r="J555"/>
      <c r="K555"/>
      <c r="L555"/>
      <c r="M555"/>
      <c r="N555"/>
      <c r="O555"/>
      <c r="P555"/>
      <c r="Q555"/>
    </row>
    <row r="556" spans="9:17" x14ac:dyDescent="0.3">
      <c r="I556"/>
      <c r="J556"/>
      <c r="K556"/>
      <c r="L556"/>
      <c r="M556"/>
      <c r="N556"/>
      <c r="O556"/>
      <c r="P556"/>
      <c r="Q556"/>
    </row>
    <row r="557" spans="9:17" x14ac:dyDescent="0.3">
      <c r="I557"/>
      <c r="J557"/>
      <c r="K557"/>
      <c r="L557"/>
      <c r="M557"/>
      <c r="N557"/>
      <c r="O557"/>
      <c r="P557"/>
      <c r="Q557"/>
    </row>
    <row r="558" spans="9:17" x14ac:dyDescent="0.3">
      <c r="I558"/>
      <c r="J558"/>
      <c r="K558"/>
      <c r="L558"/>
      <c r="M558"/>
      <c r="N558"/>
      <c r="O558"/>
      <c r="P558"/>
      <c r="Q558"/>
    </row>
    <row r="559" spans="9:17" x14ac:dyDescent="0.3">
      <c r="I559"/>
      <c r="J559"/>
      <c r="K559"/>
      <c r="L559"/>
      <c r="M559"/>
      <c r="N559"/>
      <c r="O559"/>
      <c r="P559"/>
      <c r="Q559"/>
    </row>
    <row r="560" spans="9:17" x14ac:dyDescent="0.3">
      <c r="I560"/>
      <c r="J560"/>
      <c r="K560"/>
      <c r="L560"/>
      <c r="M560"/>
      <c r="N560"/>
      <c r="O560"/>
      <c r="P560"/>
      <c r="Q560"/>
    </row>
    <row r="561" spans="9:17" x14ac:dyDescent="0.3">
      <c r="I561"/>
      <c r="J561"/>
      <c r="K561"/>
      <c r="L561"/>
      <c r="M561"/>
      <c r="N561"/>
      <c r="O561"/>
      <c r="P561"/>
      <c r="Q561"/>
    </row>
    <row r="562" spans="9:17" x14ac:dyDescent="0.3">
      <c r="I562"/>
      <c r="J562"/>
      <c r="K562"/>
      <c r="L562"/>
      <c r="M562"/>
      <c r="N562"/>
      <c r="O562"/>
      <c r="P562"/>
      <c r="Q562"/>
    </row>
    <row r="563" spans="9:17" x14ac:dyDescent="0.3">
      <c r="I563"/>
      <c r="J563"/>
      <c r="K563"/>
      <c r="L563"/>
      <c r="M563"/>
      <c r="N563"/>
      <c r="O563"/>
      <c r="P563"/>
      <c r="Q563"/>
    </row>
    <row r="564" spans="9:17" x14ac:dyDescent="0.3">
      <c r="I564"/>
      <c r="J564"/>
      <c r="K564"/>
      <c r="L564"/>
      <c r="M564"/>
      <c r="N564"/>
      <c r="O564"/>
      <c r="P564"/>
      <c r="Q564"/>
    </row>
    <row r="565" spans="9:17" x14ac:dyDescent="0.3">
      <c r="I565"/>
      <c r="J565"/>
      <c r="K565"/>
      <c r="L565"/>
      <c r="M565"/>
      <c r="N565"/>
      <c r="O565"/>
      <c r="P565"/>
      <c r="Q565"/>
    </row>
    <row r="566" spans="9:17" x14ac:dyDescent="0.3">
      <c r="I566"/>
      <c r="J566"/>
      <c r="K566"/>
      <c r="L566"/>
      <c r="M566"/>
      <c r="N566"/>
      <c r="O566"/>
      <c r="P566"/>
      <c r="Q566"/>
    </row>
    <row r="567" spans="9:17" x14ac:dyDescent="0.3">
      <c r="I567"/>
      <c r="J567"/>
      <c r="K567"/>
      <c r="L567"/>
      <c r="M567"/>
      <c r="N567"/>
      <c r="O567"/>
      <c r="P567"/>
      <c r="Q567"/>
    </row>
    <row r="568" spans="9:17" x14ac:dyDescent="0.3">
      <c r="I568"/>
      <c r="J568"/>
      <c r="K568"/>
      <c r="L568"/>
      <c r="M568"/>
      <c r="N568"/>
      <c r="O568"/>
      <c r="P568"/>
      <c r="Q568"/>
    </row>
    <row r="569" spans="9:17" x14ac:dyDescent="0.3">
      <c r="I569"/>
      <c r="J569"/>
      <c r="K569"/>
      <c r="L569"/>
      <c r="M569"/>
      <c r="N569"/>
      <c r="O569"/>
      <c r="P569"/>
      <c r="Q569"/>
    </row>
    <row r="570" spans="9:17" x14ac:dyDescent="0.3">
      <c r="I570"/>
      <c r="J570"/>
      <c r="K570"/>
      <c r="L570"/>
      <c r="M570"/>
      <c r="N570"/>
      <c r="O570"/>
      <c r="P570"/>
      <c r="Q570"/>
    </row>
    <row r="571" spans="9:17" x14ac:dyDescent="0.3">
      <c r="I571"/>
      <c r="J571"/>
      <c r="K571"/>
      <c r="L571"/>
      <c r="M571"/>
      <c r="N571"/>
      <c r="O571"/>
      <c r="P571"/>
      <c r="Q571"/>
    </row>
    <row r="572" spans="9:17" x14ac:dyDescent="0.3">
      <c r="I572"/>
      <c r="J572"/>
      <c r="K572"/>
      <c r="L572"/>
      <c r="M572"/>
      <c r="N572"/>
      <c r="O572"/>
      <c r="P572"/>
      <c r="Q572"/>
    </row>
    <row r="573" spans="9:17" x14ac:dyDescent="0.3">
      <c r="I573"/>
      <c r="J573"/>
      <c r="K573"/>
      <c r="L573"/>
      <c r="M573"/>
      <c r="N573"/>
      <c r="O573"/>
      <c r="P573"/>
      <c r="Q573"/>
    </row>
    <row r="574" spans="9:17" x14ac:dyDescent="0.3">
      <c r="I574"/>
      <c r="J574"/>
      <c r="K574"/>
      <c r="L574"/>
      <c r="M574"/>
      <c r="N574"/>
      <c r="O574"/>
      <c r="P574"/>
      <c r="Q574"/>
    </row>
    <row r="575" spans="9:17" x14ac:dyDescent="0.3">
      <c r="I575"/>
      <c r="J575"/>
      <c r="K575"/>
      <c r="L575"/>
      <c r="M575"/>
      <c r="N575"/>
      <c r="O575"/>
      <c r="P575"/>
      <c r="Q575"/>
    </row>
    <row r="576" spans="9:17" x14ac:dyDescent="0.3">
      <c r="I576"/>
      <c r="J576"/>
      <c r="K576"/>
      <c r="L576"/>
      <c r="M576"/>
      <c r="N576"/>
      <c r="O576"/>
      <c r="P576"/>
      <c r="Q576"/>
    </row>
    <row r="577" spans="9:17" x14ac:dyDescent="0.3">
      <c r="I577"/>
      <c r="J577"/>
      <c r="K577"/>
      <c r="L577"/>
      <c r="M577"/>
      <c r="N577"/>
      <c r="O577"/>
      <c r="P577"/>
      <c r="Q577"/>
    </row>
    <row r="578" spans="9:17" x14ac:dyDescent="0.3">
      <c r="I578"/>
      <c r="J578"/>
      <c r="K578"/>
      <c r="L578"/>
      <c r="M578"/>
      <c r="N578"/>
      <c r="O578"/>
      <c r="P578"/>
      <c r="Q578"/>
    </row>
    <row r="579" spans="9:17" x14ac:dyDescent="0.3">
      <c r="I579"/>
      <c r="J579"/>
      <c r="K579"/>
      <c r="L579"/>
      <c r="M579"/>
      <c r="N579"/>
      <c r="O579"/>
      <c r="P579"/>
      <c r="Q579"/>
    </row>
    <row r="580" spans="9:17" x14ac:dyDescent="0.3">
      <c r="I580"/>
      <c r="J580"/>
      <c r="K580"/>
      <c r="L580"/>
      <c r="M580"/>
      <c r="N580"/>
      <c r="O580"/>
      <c r="P580"/>
      <c r="Q580"/>
    </row>
    <row r="581" spans="9:17" x14ac:dyDescent="0.3">
      <c r="I581"/>
      <c r="J581"/>
      <c r="K581"/>
      <c r="L581"/>
      <c r="M581"/>
      <c r="N581"/>
      <c r="O581"/>
      <c r="P581"/>
      <c r="Q581"/>
    </row>
    <row r="582" spans="9:17" x14ac:dyDescent="0.3">
      <c r="I582"/>
      <c r="J582"/>
      <c r="K582"/>
      <c r="L582"/>
      <c r="M582"/>
      <c r="N582"/>
      <c r="O582"/>
      <c r="P582"/>
      <c r="Q582"/>
    </row>
    <row r="583" spans="9:17" x14ac:dyDescent="0.3">
      <c r="I583"/>
      <c r="J583"/>
      <c r="K583"/>
      <c r="L583"/>
      <c r="M583"/>
      <c r="N583"/>
      <c r="O583"/>
      <c r="P583"/>
      <c r="Q583"/>
    </row>
    <row r="584" spans="9:17" x14ac:dyDescent="0.3">
      <c r="I584"/>
      <c r="J584"/>
      <c r="K584"/>
      <c r="L584"/>
      <c r="M584"/>
      <c r="N584"/>
      <c r="O584"/>
      <c r="P584"/>
      <c r="Q584"/>
    </row>
    <row r="585" spans="9:17" x14ac:dyDescent="0.3">
      <c r="I585"/>
      <c r="J585"/>
      <c r="K585"/>
      <c r="L585"/>
      <c r="M585"/>
      <c r="N585"/>
      <c r="O585"/>
      <c r="P585"/>
      <c r="Q585"/>
    </row>
    <row r="586" spans="9:17" x14ac:dyDescent="0.3">
      <c r="I586"/>
      <c r="J586"/>
      <c r="K586"/>
      <c r="L586"/>
      <c r="M586"/>
      <c r="N586"/>
      <c r="O586"/>
      <c r="P586"/>
      <c r="Q586"/>
    </row>
    <row r="587" spans="9:17" x14ac:dyDescent="0.3">
      <c r="I587"/>
      <c r="J587"/>
      <c r="K587"/>
      <c r="L587"/>
      <c r="M587"/>
      <c r="N587"/>
      <c r="O587"/>
      <c r="P587"/>
      <c r="Q587"/>
    </row>
    <row r="588" spans="9:17" x14ac:dyDescent="0.3">
      <c r="I588"/>
      <c r="J588"/>
      <c r="K588"/>
      <c r="L588"/>
      <c r="M588"/>
      <c r="N588"/>
      <c r="O588"/>
      <c r="P588"/>
      <c r="Q588"/>
    </row>
    <row r="589" spans="9:17" x14ac:dyDescent="0.3">
      <c r="I589"/>
      <c r="J589"/>
      <c r="K589"/>
      <c r="L589"/>
      <c r="M589"/>
      <c r="N589"/>
      <c r="O589"/>
      <c r="P589"/>
      <c r="Q589"/>
    </row>
    <row r="590" spans="9:17" x14ac:dyDescent="0.3">
      <c r="I590"/>
      <c r="J590"/>
      <c r="K590"/>
      <c r="L590"/>
      <c r="M590"/>
      <c r="N590"/>
      <c r="O590"/>
      <c r="P590"/>
      <c r="Q590"/>
    </row>
    <row r="591" spans="9:17" x14ac:dyDescent="0.3">
      <c r="I591"/>
      <c r="J591"/>
      <c r="K591"/>
      <c r="L591"/>
      <c r="M591"/>
      <c r="N591"/>
      <c r="O591"/>
      <c r="P591"/>
      <c r="Q591"/>
    </row>
    <row r="592" spans="9:17" x14ac:dyDescent="0.3">
      <c r="I592"/>
      <c r="J592"/>
      <c r="K592"/>
      <c r="L592"/>
      <c r="M592"/>
      <c r="N592"/>
      <c r="O592"/>
      <c r="P592"/>
      <c r="Q592"/>
    </row>
    <row r="593" spans="9:17" x14ac:dyDescent="0.3">
      <c r="I593"/>
      <c r="J593"/>
      <c r="K593"/>
      <c r="L593"/>
      <c r="M593"/>
      <c r="N593"/>
      <c r="O593"/>
      <c r="P593"/>
      <c r="Q593"/>
    </row>
    <row r="594" spans="9:17" x14ac:dyDescent="0.3">
      <c r="I594"/>
      <c r="J594"/>
      <c r="K594"/>
      <c r="L594"/>
      <c r="M594"/>
      <c r="N594"/>
      <c r="O594"/>
      <c r="P594"/>
      <c r="Q594"/>
    </row>
    <row r="595" spans="9:17" x14ac:dyDescent="0.3">
      <c r="I595"/>
      <c r="J595"/>
      <c r="K595"/>
      <c r="L595"/>
      <c r="M595"/>
      <c r="N595"/>
      <c r="O595"/>
      <c r="P595"/>
      <c r="Q595"/>
    </row>
    <row r="596" spans="9:17" x14ac:dyDescent="0.3">
      <c r="I596"/>
      <c r="J596"/>
      <c r="K596"/>
      <c r="L596"/>
      <c r="M596"/>
      <c r="N596"/>
      <c r="O596"/>
      <c r="P596"/>
      <c r="Q596"/>
    </row>
    <row r="597" spans="9:17" x14ac:dyDescent="0.3">
      <c r="I597"/>
      <c r="J597"/>
      <c r="K597"/>
      <c r="L597"/>
      <c r="M597"/>
      <c r="N597"/>
      <c r="O597"/>
      <c r="P597"/>
      <c r="Q597"/>
    </row>
    <row r="598" spans="9:17" x14ac:dyDescent="0.3">
      <c r="I598"/>
      <c r="J598"/>
      <c r="K598"/>
      <c r="L598"/>
      <c r="M598"/>
      <c r="N598"/>
      <c r="O598"/>
      <c r="P598"/>
      <c r="Q598"/>
    </row>
    <row r="599" spans="9:17" x14ac:dyDescent="0.3">
      <c r="I599"/>
      <c r="J599"/>
      <c r="K599"/>
      <c r="L599"/>
      <c r="M599"/>
      <c r="N599"/>
      <c r="O599"/>
      <c r="P599"/>
      <c r="Q599"/>
    </row>
    <row r="600" spans="9:17" x14ac:dyDescent="0.3">
      <c r="I600"/>
      <c r="J600"/>
      <c r="K600"/>
      <c r="L600"/>
      <c r="M600"/>
      <c r="N600"/>
      <c r="O600"/>
      <c r="P600"/>
      <c r="Q600"/>
    </row>
    <row r="601" spans="9:17" x14ac:dyDescent="0.3">
      <c r="I601"/>
      <c r="J601"/>
      <c r="K601"/>
      <c r="L601"/>
      <c r="M601"/>
      <c r="N601"/>
      <c r="O601"/>
      <c r="P601"/>
      <c r="Q601"/>
    </row>
    <row r="602" spans="9:17" x14ac:dyDescent="0.3">
      <c r="I602"/>
      <c r="J602"/>
      <c r="K602"/>
      <c r="L602"/>
      <c r="M602"/>
      <c r="N602"/>
      <c r="O602"/>
      <c r="P602"/>
      <c r="Q602"/>
    </row>
    <row r="603" spans="9:17" x14ac:dyDescent="0.3">
      <c r="I603"/>
      <c r="J603"/>
      <c r="K603"/>
      <c r="L603"/>
      <c r="M603"/>
      <c r="N603"/>
      <c r="O603"/>
      <c r="P603"/>
      <c r="Q603"/>
    </row>
    <row r="604" spans="9:17" x14ac:dyDescent="0.3">
      <c r="I604"/>
      <c r="J604"/>
      <c r="K604"/>
      <c r="L604"/>
      <c r="M604"/>
      <c r="N604"/>
      <c r="O604"/>
      <c r="P604"/>
      <c r="Q604"/>
    </row>
    <row r="605" spans="9:17" x14ac:dyDescent="0.3">
      <c r="I605"/>
      <c r="J605"/>
      <c r="K605"/>
      <c r="L605"/>
      <c r="M605"/>
      <c r="N605"/>
      <c r="O605"/>
      <c r="P605"/>
      <c r="Q605"/>
    </row>
    <row r="606" spans="9:17" x14ac:dyDescent="0.3">
      <c r="I606"/>
      <c r="J606"/>
      <c r="K606"/>
      <c r="L606"/>
      <c r="M606"/>
      <c r="N606"/>
      <c r="O606"/>
      <c r="P606"/>
      <c r="Q606"/>
    </row>
    <row r="607" spans="9:17" x14ac:dyDescent="0.3">
      <c r="I607"/>
      <c r="J607"/>
      <c r="K607"/>
      <c r="L607"/>
      <c r="M607"/>
      <c r="N607"/>
      <c r="O607"/>
      <c r="P607"/>
      <c r="Q607"/>
    </row>
    <row r="608" spans="9:17" x14ac:dyDescent="0.3">
      <c r="I608"/>
      <c r="J608"/>
      <c r="K608"/>
      <c r="L608"/>
      <c r="M608"/>
      <c r="N608"/>
      <c r="O608"/>
      <c r="P608"/>
      <c r="Q608"/>
    </row>
    <row r="609" spans="9:17" x14ac:dyDescent="0.3">
      <c r="I609"/>
      <c r="J609"/>
      <c r="K609"/>
      <c r="L609"/>
      <c r="M609"/>
      <c r="N609"/>
      <c r="O609"/>
      <c r="P609"/>
      <c r="Q609"/>
    </row>
    <row r="610" spans="9:17" x14ac:dyDescent="0.3">
      <c r="I610"/>
      <c r="J610"/>
      <c r="K610"/>
      <c r="L610"/>
      <c r="M610"/>
      <c r="N610"/>
      <c r="O610"/>
      <c r="P610"/>
      <c r="Q610"/>
    </row>
    <row r="611" spans="9:17" x14ac:dyDescent="0.3">
      <c r="I611"/>
      <c r="J611"/>
      <c r="K611"/>
      <c r="L611"/>
      <c r="M611"/>
      <c r="N611"/>
      <c r="O611"/>
      <c r="P611"/>
      <c r="Q611"/>
    </row>
    <row r="612" spans="9:17" x14ac:dyDescent="0.3">
      <c r="I612"/>
      <c r="J612"/>
      <c r="K612"/>
      <c r="L612"/>
      <c r="M612"/>
      <c r="N612"/>
      <c r="O612"/>
      <c r="P612"/>
      <c r="Q612"/>
    </row>
    <row r="613" spans="9:17" x14ac:dyDescent="0.3">
      <c r="I613"/>
      <c r="J613"/>
      <c r="K613"/>
      <c r="L613"/>
      <c r="M613"/>
      <c r="N613"/>
      <c r="O613"/>
      <c r="P613"/>
      <c r="Q613"/>
    </row>
    <row r="614" spans="9:17" x14ac:dyDescent="0.3">
      <c r="I614"/>
      <c r="J614"/>
      <c r="K614"/>
      <c r="L614"/>
      <c r="M614"/>
      <c r="N614"/>
      <c r="O614"/>
      <c r="P614"/>
      <c r="Q614"/>
    </row>
    <row r="615" spans="9:17" x14ac:dyDescent="0.3">
      <c r="I615"/>
      <c r="J615"/>
      <c r="K615"/>
      <c r="L615"/>
      <c r="M615"/>
      <c r="N615"/>
      <c r="O615"/>
      <c r="P615"/>
      <c r="Q615"/>
    </row>
    <row r="616" spans="9:17" x14ac:dyDescent="0.3">
      <c r="I616"/>
      <c r="J616"/>
      <c r="K616"/>
      <c r="L616"/>
      <c r="M616"/>
      <c r="N616"/>
      <c r="O616"/>
      <c r="P616"/>
      <c r="Q616"/>
    </row>
    <row r="617" spans="9:17" x14ac:dyDescent="0.3">
      <c r="I617"/>
      <c r="J617"/>
      <c r="K617"/>
      <c r="L617"/>
      <c r="M617"/>
      <c r="N617"/>
      <c r="O617"/>
      <c r="P617"/>
      <c r="Q617"/>
    </row>
    <row r="618" spans="9:17" x14ac:dyDescent="0.3">
      <c r="I618"/>
      <c r="J618"/>
      <c r="K618"/>
      <c r="L618"/>
      <c r="M618"/>
      <c r="N618"/>
      <c r="O618"/>
      <c r="P618"/>
      <c r="Q618"/>
    </row>
    <row r="619" spans="9:17" x14ac:dyDescent="0.3">
      <c r="I619"/>
      <c r="J619"/>
      <c r="K619"/>
      <c r="L619"/>
      <c r="M619"/>
      <c r="N619"/>
      <c r="O619"/>
      <c r="P619"/>
      <c r="Q619"/>
    </row>
    <row r="620" spans="9:17" x14ac:dyDescent="0.3">
      <c r="I620"/>
      <c r="J620"/>
      <c r="K620"/>
      <c r="L620"/>
      <c r="M620"/>
      <c r="N620"/>
      <c r="O620"/>
      <c r="P620"/>
      <c r="Q620"/>
    </row>
    <row r="621" spans="9:17" x14ac:dyDescent="0.3">
      <c r="I621"/>
      <c r="J621"/>
      <c r="K621"/>
      <c r="L621"/>
      <c r="M621"/>
      <c r="N621"/>
      <c r="O621"/>
      <c r="P621"/>
      <c r="Q621"/>
    </row>
    <row r="622" spans="9:17" x14ac:dyDescent="0.3">
      <c r="I622"/>
      <c r="J622"/>
      <c r="K622"/>
      <c r="L622"/>
      <c r="M622"/>
      <c r="N622"/>
      <c r="O622"/>
      <c r="P622"/>
      <c r="Q622"/>
    </row>
    <row r="623" spans="9:17" x14ac:dyDescent="0.3">
      <c r="I623"/>
      <c r="J623"/>
      <c r="K623"/>
      <c r="L623"/>
      <c r="M623"/>
      <c r="N623"/>
      <c r="O623"/>
      <c r="P623"/>
      <c r="Q623"/>
    </row>
    <row r="624" spans="9:17" x14ac:dyDescent="0.3">
      <c r="I624"/>
      <c r="J624"/>
      <c r="K624"/>
      <c r="L624"/>
      <c r="M624"/>
      <c r="N624"/>
      <c r="O624"/>
      <c r="P624"/>
      <c r="Q624"/>
    </row>
    <row r="625" spans="9:17" x14ac:dyDescent="0.3">
      <c r="I625"/>
      <c r="J625"/>
      <c r="K625"/>
      <c r="L625"/>
      <c r="M625"/>
      <c r="N625"/>
      <c r="O625"/>
      <c r="P625"/>
      <c r="Q625"/>
    </row>
    <row r="626" spans="9:17" x14ac:dyDescent="0.3">
      <c r="I626"/>
      <c r="J626"/>
      <c r="K626"/>
      <c r="L626"/>
      <c r="M626"/>
      <c r="N626"/>
      <c r="O626"/>
      <c r="P626"/>
      <c r="Q626"/>
    </row>
    <row r="627" spans="9:17" x14ac:dyDescent="0.3">
      <c r="I627"/>
      <c r="J627"/>
      <c r="K627"/>
      <c r="L627"/>
      <c r="M627"/>
      <c r="N627"/>
      <c r="O627"/>
      <c r="P627"/>
      <c r="Q627"/>
    </row>
    <row r="628" spans="9:17" x14ac:dyDescent="0.3">
      <c r="I628"/>
      <c r="J628"/>
      <c r="K628"/>
      <c r="L628"/>
      <c r="M628"/>
      <c r="N628"/>
      <c r="O628"/>
      <c r="P628"/>
      <c r="Q628"/>
    </row>
    <row r="629" spans="9:17" x14ac:dyDescent="0.3">
      <c r="I629"/>
      <c r="J629"/>
      <c r="K629"/>
      <c r="L629"/>
      <c r="M629"/>
      <c r="N629"/>
      <c r="O629"/>
      <c r="P629"/>
      <c r="Q629"/>
    </row>
    <row r="630" spans="9:17" x14ac:dyDescent="0.3">
      <c r="I630"/>
      <c r="J630"/>
      <c r="K630"/>
      <c r="L630"/>
      <c r="M630"/>
      <c r="N630"/>
      <c r="O630"/>
      <c r="P630"/>
      <c r="Q630"/>
    </row>
    <row r="631" spans="9:17" x14ac:dyDescent="0.3">
      <c r="I631"/>
      <c r="J631"/>
      <c r="K631"/>
      <c r="L631"/>
      <c r="M631"/>
      <c r="N631"/>
      <c r="O631"/>
      <c r="P631"/>
      <c r="Q631"/>
    </row>
    <row r="632" spans="9:17" x14ac:dyDescent="0.3">
      <c r="I632"/>
      <c r="J632"/>
      <c r="K632"/>
      <c r="L632"/>
      <c r="M632"/>
      <c r="N632"/>
      <c r="O632"/>
      <c r="P632"/>
      <c r="Q632"/>
    </row>
    <row r="633" spans="9:17" x14ac:dyDescent="0.3">
      <c r="I633"/>
      <c r="J633"/>
      <c r="K633"/>
      <c r="L633"/>
      <c r="M633"/>
      <c r="N633"/>
      <c r="O633"/>
      <c r="P633"/>
      <c r="Q633"/>
    </row>
    <row r="634" spans="9:17" x14ac:dyDescent="0.3">
      <c r="I634"/>
      <c r="J634"/>
      <c r="K634"/>
      <c r="L634"/>
      <c r="M634"/>
      <c r="N634"/>
      <c r="O634"/>
      <c r="P634"/>
      <c r="Q634"/>
    </row>
    <row r="635" spans="9:17" x14ac:dyDescent="0.3">
      <c r="I635"/>
      <c r="J635"/>
      <c r="K635"/>
      <c r="L635"/>
      <c r="M635"/>
      <c r="N635"/>
      <c r="O635"/>
      <c r="P635"/>
      <c r="Q635"/>
    </row>
    <row r="636" spans="9:17" x14ac:dyDescent="0.3">
      <c r="I636"/>
      <c r="J636"/>
      <c r="K636"/>
      <c r="L636"/>
      <c r="M636"/>
      <c r="N636"/>
      <c r="O636"/>
      <c r="P636"/>
      <c r="Q636"/>
    </row>
    <row r="637" spans="9:17" x14ac:dyDescent="0.3">
      <c r="I637"/>
      <c r="J637"/>
      <c r="K637"/>
      <c r="L637"/>
      <c r="M637"/>
      <c r="N637"/>
      <c r="O637"/>
      <c r="P637"/>
      <c r="Q637"/>
    </row>
    <row r="638" spans="9:17" x14ac:dyDescent="0.3">
      <c r="I638"/>
      <c r="J638"/>
      <c r="K638"/>
      <c r="L638"/>
      <c r="M638"/>
      <c r="N638"/>
      <c r="O638"/>
      <c r="P638"/>
      <c r="Q638"/>
    </row>
    <row r="639" spans="9:17" x14ac:dyDescent="0.3">
      <c r="I639"/>
      <c r="J639"/>
      <c r="K639"/>
      <c r="L639"/>
      <c r="M639"/>
      <c r="N639"/>
      <c r="O639"/>
      <c r="P639"/>
      <c r="Q639"/>
    </row>
    <row r="640" spans="9:17" x14ac:dyDescent="0.3">
      <c r="I640"/>
      <c r="J640"/>
      <c r="K640"/>
      <c r="L640"/>
      <c r="M640"/>
      <c r="N640"/>
      <c r="O640"/>
      <c r="P640"/>
      <c r="Q640"/>
    </row>
    <row r="641" spans="9:17" x14ac:dyDescent="0.3">
      <c r="I641"/>
      <c r="J641"/>
      <c r="K641"/>
      <c r="L641"/>
      <c r="M641"/>
      <c r="N641"/>
      <c r="O641"/>
      <c r="P641"/>
      <c r="Q641"/>
    </row>
    <row r="642" spans="9:17" x14ac:dyDescent="0.3">
      <c r="I642"/>
      <c r="J642"/>
      <c r="K642"/>
      <c r="L642"/>
      <c r="M642"/>
      <c r="N642"/>
      <c r="O642"/>
      <c r="P642"/>
      <c r="Q642"/>
    </row>
    <row r="643" spans="9:17" x14ac:dyDescent="0.3">
      <c r="I643"/>
      <c r="J643"/>
      <c r="K643"/>
      <c r="L643"/>
      <c r="M643"/>
      <c r="N643"/>
      <c r="O643"/>
      <c r="P643"/>
      <c r="Q643"/>
    </row>
    <row r="644" spans="9:17" x14ac:dyDescent="0.3">
      <c r="I644"/>
      <c r="J644"/>
      <c r="K644"/>
      <c r="L644"/>
      <c r="M644"/>
      <c r="N644"/>
      <c r="O644"/>
      <c r="P644"/>
      <c r="Q644"/>
    </row>
    <row r="645" spans="9:17" x14ac:dyDescent="0.3">
      <c r="I645"/>
      <c r="J645"/>
      <c r="K645"/>
      <c r="L645"/>
      <c r="M645"/>
      <c r="N645"/>
      <c r="O645"/>
      <c r="P645"/>
      <c r="Q645"/>
    </row>
    <row r="646" spans="9:17" x14ac:dyDescent="0.3">
      <c r="I646"/>
      <c r="J646"/>
      <c r="K646"/>
      <c r="L646"/>
      <c r="M646"/>
      <c r="N646"/>
      <c r="O646"/>
      <c r="P646"/>
      <c r="Q646"/>
    </row>
    <row r="647" spans="9:17" x14ac:dyDescent="0.3">
      <c r="I647"/>
      <c r="J647"/>
      <c r="K647"/>
      <c r="L647"/>
      <c r="M647"/>
      <c r="N647"/>
      <c r="O647"/>
      <c r="P647"/>
      <c r="Q647"/>
    </row>
    <row r="648" spans="9:17" x14ac:dyDescent="0.3">
      <c r="I648"/>
      <c r="J648"/>
      <c r="K648"/>
      <c r="L648"/>
      <c r="M648"/>
      <c r="N648"/>
      <c r="O648"/>
      <c r="P648"/>
      <c r="Q648"/>
    </row>
    <row r="649" spans="9:17" x14ac:dyDescent="0.3">
      <c r="I649"/>
      <c r="J649"/>
      <c r="K649"/>
      <c r="L649"/>
      <c r="M649"/>
      <c r="N649"/>
      <c r="O649"/>
      <c r="P649"/>
      <c r="Q649"/>
    </row>
    <row r="650" spans="9:17" x14ac:dyDescent="0.3">
      <c r="I650"/>
      <c r="J650"/>
      <c r="K650"/>
      <c r="L650"/>
      <c r="M650"/>
      <c r="N650"/>
      <c r="O650"/>
      <c r="P650"/>
      <c r="Q650"/>
    </row>
    <row r="651" spans="9:17" x14ac:dyDescent="0.3">
      <c r="I651"/>
      <c r="J651"/>
      <c r="K651"/>
      <c r="L651"/>
      <c r="M651"/>
      <c r="N651"/>
      <c r="O651"/>
      <c r="P651"/>
      <c r="Q651"/>
    </row>
    <row r="652" spans="9:17" x14ac:dyDescent="0.3">
      <c r="I652"/>
      <c r="J652"/>
      <c r="K652"/>
      <c r="L652"/>
      <c r="M652"/>
      <c r="N652"/>
      <c r="O652"/>
      <c r="P652"/>
      <c r="Q652"/>
    </row>
    <row r="653" spans="9:17" x14ac:dyDescent="0.3">
      <c r="I653"/>
      <c r="J653"/>
      <c r="K653"/>
      <c r="L653"/>
      <c r="M653"/>
      <c r="N653"/>
      <c r="O653"/>
      <c r="P653"/>
      <c r="Q653"/>
    </row>
    <row r="654" spans="9:17" x14ac:dyDescent="0.3">
      <c r="I654"/>
      <c r="J654"/>
      <c r="K654"/>
      <c r="L654"/>
      <c r="M654"/>
      <c r="N654"/>
      <c r="O654"/>
      <c r="P654"/>
      <c r="Q654"/>
    </row>
    <row r="655" spans="9:17" x14ac:dyDescent="0.3">
      <c r="I655"/>
      <c r="J655"/>
      <c r="K655"/>
      <c r="L655"/>
      <c r="M655"/>
      <c r="N655"/>
      <c r="O655"/>
      <c r="P655"/>
      <c r="Q655"/>
    </row>
    <row r="656" spans="9:17" x14ac:dyDescent="0.3">
      <c r="I656"/>
      <c r="J656"/>
      <c r="K656"/>
      <c r="L656"/>
      <c r="M656"/>
      <c r="N656"/>
      <c r="O656"/>
      <c r="P656"/>
      <c r="Q656"/>
    </row>
    <row r="657" spans="9:17" x14ac:dyDescent="0.3">
      <c r="I657"/>
      <c r="J657"/>
      <c r="K657"/>
      <c r="L657"/>
      <c r="M657"/>
      <c r="N657"/>
      <c r="O657"/>
      <c r="P657"/>
      <c r="Q657"/>
    </row>
    <row r="658" spans="9:17" x14ac:dyDescent="0.3">
      <c r="I658"/>
      <c r="J658"/>
      <c r="K658"/>
      <c r="L658"/>
      <c r="M658"/>
      <c r="N658"/>
      <c r="O658"/>
      <c r="P658"/>
      <c r="Q658"/>
    </row>
    <row r="659" spans="9:17" x14ac:dyDescent="0.3">
      <c r="I659"/>
      <c r="J659"/>
      <c r="K659"/>
      <c r="L659"/>
      <c r="M659"/>
      <c r="N659"/>
      <c r="O659"/>
      <c r="P659"/>
      <c r="Q659"/>
    </row>
    <row r="660" spans="9:17" x14ac:dyDescent="0.3">
      <c r="I660"/>
      <c r="J660"/>
      <c r="K660"/>
      <c r="L660"/>
      <c r="M660"/>
      <c r="N660"/>
      <c r="O660"/>
      <c r="P660"/>
      <c r="Q660"/>
    </row>
    <row r="661" spans="9:17" x14ac:dyDescent="0.3">
      <c r="I661"/>
      <c r="J661"/>
      <c r="K661"/>
      <c r="L661"/>
      <c r="M661"/>
      <c r="N661"/>
      <c r="O661"/>
      <c r="P661"/>
      <c r="Q661"/>
    </row>
    <row r="662" spans="9:17" x14ac:dyDescent="0.3">
      <c r="I662"/>
      <c r="J662"/>
      <c r="K662"/>
      <c r="L662"/>
      <c r="M662"/>
      <c r="N662"/>
      <c r="O662"/>
      <c r="P662"/>
      <c r="Q662"/>
    </row>
    <row r="663" spans="9:17" x14ac:dyDescent="0.3">
      <c r="I663"/>
      <c r="J663"/>
      <c r="K663"/>
      <c r="L663"/>
      <c r="M663"/>
      <c r="N663"/>
      <c r="O663"/>
      <c r="P663"/>
      <c r="Q663"/>
    </row>
    <row r="664" spans="9:17" x14ac:dyDescent="0.3">
      <c r="I664"/>
      <c r="J664"/>
      <c r="K664"/>
      <c r="L664"/>
      <c r="M664"/>
      <c r="N664"/>
      <c r="O664"/>
      <c r="P664"/>
      <c r="Q664"/>
    </row>
    <row r="665" spans="9:17" x14ac:dyDescent="0.3">
      <c r="I665"/>
      <c r="J665"/>
      <c r="K665"/>
      <c r="L665"/>
      <c r="M665"/>
      <c r="N665"/>
      <c r="O665"/>
      <c r="P665"/>
      <c r="Q665"/>
    </row>
    <row r="666" spans="9:17" x14ac:dyDescent="0.3">
      <c r="I666"/>
      <c r="J666"/>
      <c r="K666"/>
      <c r="L666"/>
      <c r="M666"/>
      <c r="N666"/>
      <c r="O666"/>
      <c r="P666"/>
      <c r="Q666"/>
    </row>
    <row r="667" spans="9:17" x14ac:dyDescent="0.3">
      <c r="I667"/>
      <c r="J667"/>
      <c r="K667"/>
      <c r="L667"/>
      <c r="M667"/>
      <c r="N667"/>
      <c r="O667"/>
      <c r="P667"/>
      <c r="Q667"/>
    </row>
    <row r="668" spans="9:17" x14ac:dyDescent="0.3">
      <c r="I668"/>
      <c r="J668"/>
      <c r="K668"/>
      <c r="L668"/>
      <c r="M668"/>
      <c r="N668"/>
      <c r="O668"/>
      <c r="P668"/>
      <c r="Q668"/>
    </row>
    <row r="669" spans="9:17" x14ac:dyDescent="0.3">
      <c r="I669"/>
      <c r="J669"/>
      <c r="K669"/>
      <c r="L669"/>
      <c r="M669"/>
      <c r="N669"/>
      <c r="O669"/>
      <c r="P669"/>
      <c r="Q669"/>
    </row>
    <row r="670" spans="9:17" x14ac:dyDescent="0.3">
      <c r="I670"/>
      <c r="J670"/>
      <c r="K670"/>
      <c r="L670"/>
      <c r="M670"/>
      <c r="N670"/>
      <c r="O670"/>
      <c r="P670"/>
      <c r="Q670"/>
    </row>
    <row r="671" spans="9:17" x14ac:dyDescent="0.3">
      <c r="I671"/>
      <c r="J671"/>
      <c r="K671"/>
      <c r="L671"/>
      <c r="M671"/>
      <c r="N671"/>
      <c r="O671"/>
      <c r="P671"/>
      <c r="Q671"/>
    </row>
    <row r="672" spans="9:17" x14ac:dyDescent="0.3">
      <c r="I672"/>
      <c r="J672"/>
      <c r="K672"/>
      <c r="L672"/>
      <c r="M672"/>
      <c r="N672"/>
      <c r="O672"/>
      <c r="P672"/>
      <c r="Q672"/>
    </row>
    <row r="673" spans="9:17" x14ac:dyDescent="0.3">
      <c r="I673"/>
      <c r="J673"/>
      <c r="K673"/>
      <c r="L673"/>
      <c r="M673"/>
      <c r="N673"/>
      <c r="O673"/>
      <c r="P673"/>
      <c r="Q673"/>
    </row>
    <row r="674" spans="9:17" x14ac:dyDescent="0.3">
      <c r="I674"/>
      <c r="J674"/>
      <c r="K674"/>
      <c r="L674"/>
      <c r="M674"/>
      <c r="N674"/>
      <c r="O674"/>
      <c r="P674"/>
      <c r="Q674"/>
    </row>
    <row r="675" spans="9:17" x14ac:dyDescent="0.3">
      <c r="I675"/>
      <c r="J675"/>
      <c r="K675"/>
      <c r="L675"/>
      <c r="M675"/>
      <c r="N675"/>
      <c r="O675"/>
      <c r="P675"/>
      <c r="Q675"/>
    </row>
    <row r="676" spans="9:17" x14ac:dyDescent="0.3">
      <c r="I676"/>
      <c r="J676"/>
      <c r="K676"/>
      <c r="L676"/>
      <c r="M676"/>
      <c r="N676"/>
      <c r="O676"/>
      <c r="P676"/>
      <c r="Q676"/>
    </row>
    <row r="677" spans="9:17" x14ac:dyDescent="0.3">
      <c r="I677"/>
      <c r="J677"/>
      <c r="K677"/>
      <c r="L677"/>
      <c r="M677"/>
      <c r="N677"/>
      <c r="O677"/>
      <c r="P677"/>
      <c r="Q677"/>
    </row>
    <row r="678" spans="9:17" x14ac:dyDescent="0.3">
      <c r="I678"/>
      <c r="J678"/>
      <c r="K678"/>
      <c r="L678"/>
      <c r="M678"/>
      <c r="N678"/>
      <c r="O678"/>
      <c r="P678"/>
      <c r="Q678"/>
    </row>
    <row r="679" spans="9:17" x14ac:dyDescent="0.3">
      <c r="I679"/>
      <c r="J679"/>
      <c r="K679"/>
      <c r="L679"/>
      <c r="M679"/>
      <c r="N679"/>
      <c r="O679"/>
      <c r="P679"/>
      <c r="Q679"/>
    </row>
    <row r="680" spans="9:17" x14ac:dyDescent="0.3">
      <c r="I680"/>
      <c r="J680"/>
      <c r="K680"/>
      <c r="L680"/>
      <c r="M680"/>
      <c r="N680"/>
      <c r="O680"/>
      <c r="P680"/>
      <c r="Q680"/>
    </row>
    <row r="681" spans="9:17" x14ac:dyDescent="0.3">
      <c r="I681"/>
      <c r="J681"/>
      <c r="K681"/>
      <c r="L681"/>
      <c r="M681"/>
      <c r="N681"/>
      <c r="O681"/>
      <c r="P681"/>
      <c r="Q681"/>
    </row>
    <row r="682" spans="9:17" x14ac:dyDescent="0.3">
      <c r="I682"/>
      <c r="J682"/>
      <c r="K682"/>
      <c r="L682"/>
      <c r="M682"/>
      <c r="N682"/>
      <c r="O682"/>
      <c r="P682"/>
      <c r="Q682"/>
    </row>
    <row r="683" spans="9:17" x14ac:dyDescent="0.3">
      <c r="I683"/>
      <c r="J683"/>
      <c r="K683"/>
      <c r="L683"/>
      <c r="M683"/>
      <c r="N683"/>
      <c r="O683"/>
      <c r="P683"/>
      <c r="Q683"/>
    </row>
    <row r="684" spans="9:17" x14ac:dyDescent="0.3">
      <c r="I684"/>
      <c r="J684"/>
      <c r="K684"/>
      <c r="L684"/>
      <c r="M684"/>
      <c r="N684"/>
      <c r="O684"/>
      <c r="P684"/>
      <c r="Q684"/>
    </row>
    <row r="685" spans="9:17" x14ac:dyDescent="0.3">
      <c r="I685"/>
      <c r="J685"/>
      <c r="K685"/>
      <c r="L685"/>
      <c r="M685"/>
      <c r="N685"/>
      <c r="O685"/>
      <c r="P685"/>
      <c r="Q685"/>
    </row>
    <row r="686" spans="9:17" x14ac:dyDescent="0.3">
      <c r="I686"/>
      <c r="J686"/>
      <c r="K686"/>
      <c r="L686"/>
      <c r="M686"/>
      <c r="N686"/>
      <c r="O686"/>
      <c r="P686"/>
      <c r="Q686"/>
    </row>
    <row r="687" spans="9:17" x14ac:dyDescent="0.3">
      <c r="I687"/>
      <c r="J687"/>
      <c r="K687"/>
      <c r="L687"/>
      <c r="M687"/>
      <c r="N687"/>
      <c r="O687"/>
      <c r="P687"/>
      <c r="Q687"/>
    </row>
    <row r="688" spans="9:17" x14ac:dyDescent="0.3">
      <c r="I688"/>
      <c r="J688"/>
      <c r="K688"/>
      <c r="L688"/>
      <c r="M688"/>
      <c r="N688"/>
      <c r="O688"/>
      <c r="P688"/>
      <c r="Q688"/>
    </row>
    <row r="689" spans="9:17" x14ac:dyDescent="0.3">
      <c r="I689"/>
      <c r="J689"/>
      <c r="K689"/>
      <c r="L689"/>
      <c r="M689"/>
      <c r="N689"/>
      <c r="O689"/>
      <c r="P689"/>
      <c r="Q689"/>
    </row>
    <row r="690" spans="9:17" x14ac:dyDescent="0.3">
      <c r="I690"/>
      <c r="J690"/>
      <c r="K690"/>
      <c r="L690"/>
      <c r="M690"/>
      <c r="N690"/>
      <c r="O690"/>
      <c r="P690"/>
      <c r="Q690"/>
    </row>
    <row r="691" spans="9:17" x14ac:dyDescent="0.3">
      <c r="I691"/>
      <c r="J691"/>
      <c r="K691"/>
      <c r="L691"/>
      <c r="M691"/>
      <c r="N691"/>
      <c r="O691"/>
      <c r="P691"/>
      <c r="Q691"/>
    </row>
    <row r="692" spans="9:17" x14ac:dyDescent="0.3">
      <c r="I692"/>
      <c r="J692"/>
      <c r="K692"/>
      <c r="L692"/>
      <c r="M692"/>
      <c r="N692"/>
      <c r="O692"/>
      <c r="P692"/>
      <c r="Q692"/>
    </row>
    <row r="693" spans="9:17" x14ac:dyDescent="0.3">
      <c r="I693"/>
      <c r="J693"/>
      <c r="K693"/>
      <c r="L693"/>
      <c r="M693"/>
      <c r="N693"/>
      <c r="O693"/>
      <c r="P693"/>
      <c r="Q693"/>
    </row>
    <row r="694" spans="9:17" x14ac:dyDescent="0.3">
      <c r="I694"/>
      <c r="J694"/>
      <c r="K694"/>
      <c r="L694"/>
      <c r="M694"/>
      <c r="N694"/>
      <c r="O694"/>
      <c r="P694"/>
      <c r="Q694"/>
    </row>
    <row r="695" spans="9:17" x14ac:dyDescent="0.3">
      <c r="I695"/>
      <c r="J695"/>
      <c r="K695"/>
      <c r="L695"/>
      <c r="M695"/>
      <c r="N695"/>
      <c r="O695"/>
      <c r="P695"/>
      <c r="Q695"/>
    </row>
    <row r="696" spans="9:17" x14ac:dyDescent="0.3">
      <c r="I696"/>
      <c r="J696"/>
      <c r="K696"/>
      <c r="L696"/>
      <c r="M696"/>
      <c r="N696"/>
      <c r="O696"/>
      <c r="P696"/>
      <c r="Q696"/>
    </row>
    <row r="697" spans="9:17" x14ac:dyDescent="0.3">
      <c r="I697"/>
      <c r="J697"/>
      <c r="K697"/>
      <c r="L697"/>
      <c r="M697"/>
      <c r="N697"/>
      <c r="O697"/>
      <c r="P697"/>
      <c r="Q697"/>
    </row>
    <row r="698" spans="9:17" x14ac:dyDescent="0.3">
      <c r="I698"/>
      <c r="J698"/>
      <c r="K698"/>
      <c r="L698"/>
      <c r="M698"/>
      <c r="N698"/>
      <c r="O698"/>
      <c r="P698"/>
      <c r="Q698"/>
    </row>
    <row r="699" spans="9:17" x14ac:dyDescent="0.3">
      <c r="I699"/>
      <c r="J699"/>
      <c r="K699"/>
      <c r="L699"/>
      <c r="M699"/>
      <c r="N699"/>
      <c r="O699"/>
      <c r="P699"/>
      <c r="Q699"/>
    </row>
    <row r="700" spans="9:17" x14ac:dyDescent="0.3">
      <c r="I700"/>
      <c r="J700"/>
      <c r="K700"/>
      <c r="L700"/>
      <c r="M700"/>
      <c r="N700"/>
      <c r="O700"/>
      <c r="P700"/>
      <c r="Q700"/>
    </row>
    <row r="701" spans="9:17" x14ac:dyDescent="0.3">
      <c r="I701"/>
      <c r="J701"/>
      <c r="K701"/>
      <c r="L701"/>
      <c r="M701"/>
      <c r="N701"/>
      <c r="O701"/>
      <c r="P701"/>
      <c r="Q701"/>
    </row>
    <row r="702" spans="9:17" x14ac:dyDescent="0.3">
      <c r="I702"/>
      <c r="J702"/>
      <c r="K702"/>
      <c r="L702"/>
      <c r="M702"/>
      <c r="N702"/>
      <c r="O702"/>
      <c r="P702"/>
      <c r="Q702"/>
    </row>
    <row r="703" spans="9:17" x14ac:dyDescent="0.3">
      <c r="I703"/>
      <c r="J703"/>
      <c r="K703"/>
      <c r="L703"/>
      <c r="M703"/>
      <c r="N703"/>
      <c r="O703"/>
      <c r="P703"/>
      <c r="Q703"/>
    </row>
    <row r="704" spans="9:17" x14ac:dyDescent="0.3">
      <c r="I704"/>
      <c r="J704"/>
      <c r="K704"/>
      <c r="L704"/>
      <c r="M704"/>
      <c r="N704"/>
      <c r="O704"/>
      <c r="P704"/>
      <c r="Q704"/>
    </row>
    <row r="705" spans="9:17" x14ac:dyDescent="0.3">
      <c r="I705"/>
      <c r="J705"/>
      <c r="K705"/>
      <c r="L705"/>
      <c r="M705"/>
      <c r="N705"/>
      <c r="O705"/>
      <c r="P705"/>
      <c r="Q705"/>
    </row>
    <row r="706" spans="9:17" x14ac:dyDescent="0.3">
      <c r="I706"/>
      <c r="J706"/>
      <c r="K706"/>
      <c r="L706"/>
      <c r="M706"/>
      <c r="N706"/>
      <c r="O706"/>
      <c r="P706"/>
      <c r="Q706"/>
    </row>
    <row r="707" spans="9:17" x14ac:dyDescent="0.3">
      <c r="I707"/>
      <c r="J707"/>
      <c r="K707"/>
      <c r="L707"/>
      <c r="M707"/>
      <c r="N707"/>
      <c r="O707"/>
      <c r="P707"/>
      <c r="Q707"/>
    </row>
    <row r="708" spans="9:17" x14ac:dyDescent="0.3">
      <c r="I708"/>
      <c r="J708"/>
      <c r="K708"/>
      <c r="L708"/>
      <c r="M708"/>
      <c r="N708"/>
      <c r="O708"/>
      <c r="P708"/>
      <c r="Q708"/>
    </row>
    <row r="709" spans="9:17" x14ac:dyDescent="0.3">
      <c r="I709"/>
      <c r="J709"/>
      <c r="K709"/>
      <c r="L709"/>
      <c r="M709"/>
      <c r="N709"/>
      <c r="O709"/>
      <c r="P709"/>
      <c r="Q709"/>
    </row>
    <row r="710" spans="9:17" x14ac:dyDescent="0.3">
      <c r="I710"/>
      <c r="J710"/>
      <c r="K710"/>
      <c r="L710"/>
      <c r="M710"/>
      <c r="N710"/>
      <c r="O710"/>
      <c r="P710"/>
      <c r="Q710"/>
    </row>
    <row r="711" spans="9:17" x14ac:dyDescent="0.3">
      <c r="I711"/>
      <c r="J711"/>
      <c r="K711"/>
      <c r="L711"/>
      <c r="M711"/>
      <c r="N711"/>
      <c r="O711"/>
      <c r="P711"/>
      <c r="Q711"/>
    </row>
    <row r="712" spans="9:17" x14ac:dyDescent="0.3">
      <c r="I712"/>
      <c r="J712"/>
      <c r="K712"/>
      <c r="L712"/>
      <c r="M712"/>
      <c r="N712"/>
      <c r="O712"/>
      <c r="P712"/>
      <c r="Q712"/>
    </row>
    <row r="713" spans="9:17" x14ac:dyDescent="0.3">
      <c r="I713"/>
      <c r="J713"/>
      <c r="K713"/>
      <c r="L713"/>
      <c r="M713"/>
      <c r="N713"/>
      <c r="O713"/>
      <c r="P713"/>
      <c r="Q713"/>
    </row>
    <row r="714" spans="9:17" x14ac:dyDescent="0.3">
      <c r="I714"/>
      <c r="J714"/>
      <c r="K714"/>
      <c r="L714"/>
      <c r="M714"/>
      <c r="N714"/>
      <c r="O714"/>
      <c r="P714"/>
      <c r="Q714"/>
    </row>
    <row r="715" spans="9:17" x14ac:dyDescent="0.3">
      <c r="I715"/>
      <c r="J715"/>
      <c r="K715"/>
      <c r="L715"/>
      <c r="M715"/>
      <c r="N715"/>
      <c r="O715"/>
      <c r="P715"/>
      <c r="Q715"/>
    </row>
    <row r="716" spans="9:17" x14ac:dyDescent="0.3">
      <c r="I716"/>
      <c r="J716"/>
      <c r="K716"/>
      <c r="L716"/>
      <c r="M716"/>
      <c r="N716"/>
      <c r="O716"/>
      <c r="P716"/>
      <c r="Q716"/>
    </row>
    <row r="717" spans="9:17" x14ac:dyDescent="0.3">
      <c r="I717"/>
      <c r="J717"/>
      <c r="K717"/>
      <c r="L717"/>
      <c r="M717"/>
      <c r="N717"/>
      <c r="O717"/>
      <c r="P717"/>
      <c r="Q717"/>
    </row>
    <row r="718" spans="9:17" x14ac:dyDescent="0.3">
      <c r="I718"/>
      <c r="J718"/>
      <c r="K718"/>
      <c r="L718"/>
      <c r="M718"/>
      <c r="N718"/>
      <c r="O718"/>
      <c r="P718"/>
      <c r="Q718"/>
    </row>
    <row r="719" spans="9:17" x14ac:dyDescent="0.3">
      <c r="I719"/>
      <c r="J719"/>
      <c r="K719"/>
      <c r="L719"/>
      <c r="M719"/>
      <c r="N719"/>
      <c r="O719"/>
      <c r="P719"/>
      <c r="Q719"/>
    </row>
    <row r="720" spans="9:17" x14ac:dyDescent="0.3">
      <c r="I720"/>
      <c r="J720"/>
      <c r="K720"/>
      <c r="L720"/>
      <c r="M720"/>
      <c r="N720"/>
      <c r="O720"/>
      <c r="P720"/>
      <c r="Q720"/>
    </row>
    <row r="721" spans="9:17" x14ac:dyDescent="0.3">
      <c r="I721"/>
      <c r="J721"/>
      <c r="K721"/>
      <c r="L721"/>
      <c r="M721"/>
      <c r="N721"/>
      <c r="O721"/>
      <c r="P721"/>
      <c r="Q721"/>
    </row>
    <row r="722" spans="9:17" x14ac:dyDescent="0.3">
      <c r="I722"/>
      <c r="J722"/>
      <c r="K722"/>
      <c r="L722"/>
      <c r="M722"/>
      <c r="N722"/>
      <c r="O722"/>
      <c r="P722"/>
      <c r="Q722"/>
    </row>
    <row r="723" spans="9:17" x14ac:dyDescent="0.3">
      <c r="I723"/>
      <c r="J723"/>
      <c r="K723"/>
      <c r="L723"/>
      <c r="M723"/>
      <c r="N723"/>
      <c r="O723"/>
      <c r="P723"/>
      <c r="Q723"/>
    </row>
    <row r="724" spans="9:17" x14ac:dyDescent="0.3">
      <c r="I724"/>
      <c r="J724"/>
      <c r="K724"/>
      <c r="L724"/>
      <c r="M724"/>
      <c r="N724"/>
      <c r="O724"/>
      <c r="P724"/>
      <c r="Q724"/>
    </row>
    <row r="725" spans="9:17" x14ac:dyDescent="0.3">
      <c r="I725"/>
      <c r="J725"/>
      <c r="K725"/>
      <c r="L725"/>
      <c r="M725"/>
      <c r="N725"/>
      <c r="O725"/>
      <c r="P725"/>
      <c r="Q725"/>
    </row>
    <row r="726" spans="9:17" x14ac:dyDescent="0.3">
      <c r="I726"/>
      <c r="J726"/>
      <c r="K726"/>
      <c r="L726"/>
      <c r="M726"/>
      <c r="N726"/>
      <c r="O726"/>
      <c r="P726"/>
      <c r="Q726"/>
    </row>
    <row r="727" spans="9:17" x14ac:dyDescent="0.3">
      <c r="I727"/>
      <c r="J727"/>
      <c r="K727"/>
      <c r="L727"/>
      <c r="M727"/>
      <c r="N727"/>
      <c r="O727"/>
      <c r="P727"/>
      <c r="Q727"/>
    </row>
    <row r="728" spans="9:17" x14ac:dyDescent="0.3">
      <c r="I728"/>
      <c r="J728"/>
      <c r="K728"/>
      <c r="L728"/>
      <c r="M728"/>
      <c r="N728"/>
      <c r="O728"/>
      <c r="P728"/>
      <c r="Q728"/>
    </row>
    <row r="729" spans="9:17" x14ac:dyDescent="0.3">
      <c r="I729"/>
      <c r="J729"/>
      <c r="K729"/>
      <c r="L729"/>
      <c r="M729"/>
      <c r="N729"/>
      <c r="O729"/>
      <c r="P729"/>
      <c r="Q729"/>
    </row>
    <row r="730" spans="9:17" x14ac:dyDescent="0.3">
      <c r="I730"/>
      <c r="J730"/>
      <c r="K730"/>
      <c r="L730"/>
      <c r="M730"/>
      <c r="N730"/>
      <c r="O730"/>
      <c r="P730"/>
      <c r="Q730"/>
    </row>
    <row r="731" spans="9:17" x14ac:dyDescent="0.3">
      <c r="I731"/>
      <c r="J731"/>
      <c r="K731"/>
      <c r="L731"/>
      <c r="M731"/>
      <c r="N731"/>
      <c r="O731"/>
      <c r="P731"/>
      <c r="Q731"/>
    </row>
    <row r="732" spans="9:17" x14ac:dyDescent="0.3">
      <c r="I732"/>
      <c r="J732"/>
      <c r="K732"/>
      <c r="L732"/>
      <c r="M732"/>
      <c r="N732"/>
      <c r="O732"/>
      <c r="P732"/>
      <c r="Q732"/>
    </row>
    <row r="733" spans="9:17" x14ac:dyDescent="0.3">
      <c r="I733"/>
      <c r="J733"/>
      <c r="K733"/>
      <c r="L733"/>
      <c r="M733"/>
      <c r="N733"/>
      <c r="O733"/>
      <c r="P733"/>
      <c r="Q733"/>
    </row>
    <row r="734" spans="9:17" x14ac:dyDescent="0.3">
      <c r="I734"/>
      <c r="J734"/>
      <c r="K734"/>
      <c r="L734"/>
      <c r="M734"/>
      <c r="N734"/>
      <c r="O734"/>
      <c r="P734"/>
      <c r="Q734"/>
    </row>
    <row r="735" spans="9:17" x14ac:dyDescent="0.3">
      <c r="I735"/>
      <c r="J735"/>
      <c r="K735"/>
      <c r="L735"/>
      <c r="M735"/>
      <c r="N735"/>
      <c r="O735"/>
      <c r="P735"/>
      <c r="Q735"/>
    </row>
    <row r="736" spans="9:17" x14ac:dyDescent="0.3">
      <c r="I736"/>
      <c r="J736"/>
      <c r="K736"/>
      <c r="L736"/>
      <c r="M736"/>
      <c r="N736"/>
      <c r="O736"/>
      <c r="P736"/>
      <c r="Q736"/>
    </row>
    <row r="737" spans="9:17" x14ac:dyDescent="0.3">
      <c r="I737"/>
      <c r="J737"/>
      <c r="K737"/>
      <c r="L737"/>
      <c r="M737"/>
      <c r="N737"/>
      <c r="O737"/>
      <c r="P737"/>
      <c r="Q737"/>
    </row>
    <row r="738" spans="9:17" x14ac:dyDescent="0.3">
      <c r="I738"/>
      <c r="J738"/>
      <c r="K738"/>
      <c r="L738"/>
      <c r="M738"/>
      <c r="N738"/>
      <c r="O738"/>
      <c r="P738"/>
      <c r="Q738"/>
    </row>
    <row r="739" spans="9:17" x14ac:dyDescent="0.3">
      <c r="I739"/>
      <c r="J739"/>
      <c r="K739"/>
      <c r="L739"/>
      <c r="M739"/>
      <c r="N739"/>
      <c r="O739"/>
      <c r="P739"/>
      <c r="Q739"/>
    </row>
    <row r="740" spans="9:17" x14ac:dyDescent="0.3">
      <c r="I740"/>
      <c r="J740"/>
      <c r="K740"/>
      <c r="L740"/>
      <c r="M740"/>
      <c r="N740"/>
      <c r="O740"/>
      <c r="P740"/>
      <c r="Q740"/>
    </row>
    <row r="741" spans="9:17" x14ac:dyDescent="0.3">
      <c r="I741"/>
      <c r="J741"/>
      <c r="K741"/>
      <c r="L741"/>
      <c r="M741"/>
      <c r="N741"/>
      <c r="O741"/>
      <c r="P741"/>
      <c r="Q741"/>
    </row>
    <row r="742" spans="9:17" x14ac:dyDescent="0.3">
      <c r="I742"/>
      <c r="J742"/>
      <c r="K742"/>
      <c r="L742"/>
      <c r="M742"/>
      <c r="N742"/>
      <c r="O742"/>
      <c r="P742"/>
      <c r="Q742"/>
    </row>
    <row r="743" spans="9:17" x14ac:dyDescent="0.3">
      <c r="I743"/>
      <c r="J743"/>
      <c r="K743"/>
      <c r="L743"/>
      <c r="M743"/>
      <c r="N743"/>
      <c r="O743"/>
      <c r="P743"/>
      <c r="Q743"/>
    </row>
    <row r="744" spans="9:17" x14ac:dyDescent="0.3">
      <c r="I744"/>
      <c r="J744"/>
      <c r="K744"/>
      <c r="L744"/>
      <c r="M744"/>
      <c r="N744"/>
      <c r="O744"/>
      <c r="P744"/>
      <c r="Q744"/>
    </row>
    <row r="745" spans="9:17" x14ac:dyDescent="0.3">
      <c r="I745"/>
      <c r="J745"/>
      <c r="K745"/>
      <c r="L745"/>
      <c r="M745"/>
      <c r="N745"/>
      <c r="O745"/>
      <c r="P745"/>
      <c r="Q745"/>
    </row>
    <row r="746" spans="9:17" x14ac:dyDescent="0.3">
      <c r="I746"/>
      <c r="J746"/>
      <c r="K746"/>
      <c r="L746"/>
      <c r="M746"/>
      <c r="N746"/>
      <c r="O746"/>
      <c r="P746"/>
      <c r="Q746"/>
    </row>
    <row r="747" spans="9:17" x14ac:dyDescent="0.3">
      <c r="I747"/>
      <c r="J747"/>
      <c r="K747"/>
      <c r="L747"/>
      <c r="M747"/>
      <c r="N747"/>
      <c r="O747"/>
      <c r="P747"/>
      <c r="Q747"/>
    </row>
    <row r="748" spans="9:17" x14ac:dyDescent="0.3">
      <c r="I748"/>
      <c r="J748"/>
      <c r="K748"/>
      <c r="L748"/>
      <c r="M748"/>
      <c r="N748"/>
      <c r="O748"/>
      <c r="P748"/>
      <c r="Q748"/>
    </row>
    <row r="749" spans="9:17" x14ac:dyDescent="0.3">
      <c r="I749"/>
      <c r="J749"/>
      <c r="K749"/>
      <c r="L749"/>
      <c r="M749"/>
      <c r="N749"/>
      <c r="O749"/>
      <c r="P749"/>
      <c r="Q749"/>
    </row>
    <row r="750" spans="9:17" x14ac:dyDescent="0.3">
      <c r="I750"/>
      <c r="J750"/>
      <c r="K750"/>
      <c r="L750"/>
      <c r="M750"/>
      <c r="N750"/>
      <c r="O750"/>
      <c r="P750"/>
      <c r="Q750"/>
    </row>
    <row r="751" spans="9:17" x14ac:dyDescent="0.3">
      <c r="I751"/>
      <c r="J751"/>
      <c r="K751"/>
      <c r="L751"/>
      <c r="M751"/>
      <c r="N751"/>
      <c r="O751"/>
      <c r="P751"/>
      <c r="Q751"/>
    </row>
    <row r="752" spans="9:17" x14ac:dyDescent="0.3">
      <c r="I752"/>
      <c r="J752"/>
      <c r="K752"/>
      <c r="L752"/>
      <c r="M752"/>
      <c r="N752"/>
      <c r="O752"/>
      <c r="P752"/>
      <c r="Q752"/>
    </row>
    <row r="753" spans="9:17" x14ac:dyDescent="0.3">
      <c r="I753"/>
      <c r="J753"/>
      <c r="K753"/>
      <c r="L753"/>
      <c r="M753"/>
      <c r="N753"/>
      <c r="O753"/>
      <c r="P753"/>
      <c r="Q753"/>
    </row>
    <row r="754" spans="9:17" x14ac:dyDescent="0.3">
      <c r="I754"/>
      <c r="J754"/>
      <c r="K754"/>
      <c r="L754"/>
      <c r="M754"/>
      <c r="N754"/>
      <c r="O754"/>
      <c r="P754"/>
      <c r="Q754"/>
    </row>
    <row r="755" spans="9:17" x14ac:dyDescent="0.3">
      <c r="I755"/>
      <c r="J755"/>
      <c r="K755"/>
      <c r="L755"/>
      <c r="M755"/>
      <c r="N755"/>
      <c r="O755"/>
      <c r="P755"/>
      <c r="Q755"/>
    </row>
    <row r="756" spans="9:17" x14ac:dyDescent="0.3">
      <c r="I756"/>
      <c r="J756"/>
      <c r="K756"/>
      <c r="L756"/>
      <c r="M756"/>
      <c r="N756"/>
      <c r="O756"/>
      <c r="P756"/>
      <c r="Q756"/>
    </row>
    <row r="757" spans="9:17" x14ac:dyDescent="0.3">
      <c r="I757"/>
      <c r="J757"/>
      <c r="K757"/>
      <c r="L757"/>
      <c r="M757"/>
      <c r="N757"/>
      <c r="O757"/>
      <c r="P757"/>
      <c r="Q757"/>
    </row>
    <row r="758" spans="9:17" x14ac:dyDescent="0.3">
      <c r="I758"/>
      <c r="J758"/>
      <c r="K758"/>
      <c r="L758"/>
      <c r="M758"/>
      <c r="N758"/>
      <c r="O758"/>
      <c r="P758"/>
      <c r="Q758"/>
    </row>
    <row r="759" spans="9:17" x14ac:dyDescent="0.3">
      <c r="I759"/>
      <c r="J759"/>
      <c r="K759"/>
      <c r="L759"/>
      <c r="M759"/>
      <c r="N759"/>
      <c r="O759"/>
      <c r="P759"/>
      <c r="Q759"/>
    </row>
    <row r="760" spans="9:17" x14ac:dyDescent="0.3">
      <c r="I760"/>
      <c r="J760"/>
      <c r="K760"/>
      <c r="L760"/>
      <c r="M760"/>
      <c r="N760"/>
      <c r="O760"/>
      <c r="P760"/>
      <c r="Q760"/>
    </row>
    <row r="761" spans="9:17" x14ac:dyDescent="0.3">
      <c r="I761"/>
      <c r="J761"/>
      <c r="K761"/>
      <c r="L761"/>
      <c r="M761"/>
      <c r="N761"/>
      <c r="O761"/>
      <c r="P761"/>
      <c r="Q761"/>
    </row>
    <row r="762" spans="9:17" x14ac:dyDescent="0.3">
      <c r="I762"/>
      <c r="J762"/>
      <c r="K762"/>
      <c r="L762"/>
      <c r="M762"/>
      <c r="N762"/>
      <c r="O762"/>
      <c r="P762"/>
      <c r="Q762"/>
    </row>
    <row r="763" spans="9:17" x14ac:dyDescent="0.3">
      <c r="I763"/>
      <c r="J763"/>
      <c r="K763"/>
      <c r="L763"/>
      <c r="M763"/>
      <c r="N763"/>
      <c r="O763"/>
      <c r="P763"/>
      <c r="Q763"/>
    </row>
    <row r="764" spans="9:17" x14ac:dyDescent="0.3">
      <c r="I764"/>
      <c r="J764"/>
      <c r="K764"/>
      <c r="L764"/>
      <c r="M764"/>
      <c r="N764"/>
      <c r="O764"/>
      <c r="P764"/>
      <c r="Q764"/>
    </row>
    <row r="765" spans="9:17" x14ac:dyDescent="0.3">
      <c r="I765"/>
      <c r="J765"/>
      <c r="K765"/>
      <c r="L765"/>
      <c r="M765"/>
      <c r="N765"/>
      <c r="O765"/>
      <c r="P765"/>
      <c r="Q765"/>
    </row>
    <row r="766" spans="9:17" x14ac:dyDescent="0.3">
      <c r="I766"/>
      <c r="J766"/>
      <c r="K766"/>
      <c r="L766"/>
      <c r="M766"/>
      <c r="N766"/>
      <c r="O766"/>
      <c r="P766"/>
      <c r="Q766"/>
    </row>
    <row r="767" spans="9:17" x14ac:dyDescent="0.3">
      <c r="I767"/>
      <c r="J767"/>
      <c r="K767"/>
      <c r="L767"/>
      <c r="M767"/>
      <c r="N767"/>
      <c r="O767"/>
      <c r="P767"/>
      <c r="Q767"/>
    </row>
    <row r="768" spans="9:17" x14ac:dyDescent="0.3">
      <c r="I768"/>
      <c r="J768"/>
      <c r="K768"/>
      <c r="L768"/>
      <c r="M768"/>
      <c r="N768"/>
      <c r="O768"/>
      <c r="P768"/>
      <c r="Q768"/>
    </row>
    <row r="769" spans="9:17" x14ac:dyDescent="0.3">
      <c r="I769"/>
      <c r="J769"/>
      <c r="K769"/>
      <c r="L769"/>
      <c r="M769"/>
      <c r="N769"/>
      <c r="O769"/>
      <c r="P769"/>
      <c r="Q769"/>
    </row>
    <row r="770" spans="9:17" x14ac:dyDescent="0.3">
      <c r="I770"/>
      <c r="J770"/>
      <c r="K770"/>
      <c r="L770"/>
      <c r="M770"/>
      <c r="N770"/>
      <c r="O770"/>
      <c r="P770"/>
      <c r="Q770"/>
    </row>
    <row r="771" spans="9:17" x14ac:dyDescent="0.3">
      <c r="I771"/>
      <c r="J771"/>
      <c r="K771"/>
      <c r="L771"/>
      <c r="M771"/>
      <c r="N771"/>
      <c r="O771"/>
      <c r="P771"/>
      <c r="Q771"/>
    </row>
    <row r="772" spans="9:17" x14ac:dyDescent="0.3">
      <c r="I772"/>
      <c r="J772"/>
      <c r="K772"/>
      <c r="L772"/>
      <c r="M772"/>
      <c r="N772"/>
      <c r="O772"/>
      <c r="P772"/>
      <c r="Q772"/>
    </row>
    <row r="773" spans="9:17" x14ac:dyDescent="0.3">
      <c r="I773"/>
      <c r="J773"/>
      <c r="K773"/>
      <c r="L773"/>
      <c r="M773"/>
      <c r="N773"/>
      <c r="O773"/>
      <c r="P773"/>
      <c r="Q773"/>
    </row>
    <row r="774" spans="9:17" x14ac:dyDescent="0.3">
      <c r="I774"/>
      <c r="J774"/>
      <c r="K774"/>
      <c r="L774"/>
      <c r="M774"/>
      <c r="N774"/>
      <c r="O774"/>
      <c r="P774"/>
      <c r="Q774"/>
    </row>
    <row r="775" spans="9:17" x14ac:dyDescent="0.3">
      <c r="I775"/>
      <c r="J775"/>
      <c r="K775"/>
      <c r="L775"/>
      <c r="M775"/>
      <c r="N775"/>
      <c r="O775"/>
      <c r="P775"/>
      <c r="Q775"/>
    </row>
    <row r="776" spans="9:17" x14ac:dyDescent="0.3">
      <c r="I776"/>
      <c r="J776"/>
      <c r="K776"/>
      <c r="L776"/>
      <c r="M776"/>
      <c r="N776"/>
      <c r="O776"/>
      <c r="P776"/>
      <c r="Q776"/>
    </row>
    <row r="777" spans="9:17" x14ac:dyDescent="0.3">
      <c r="I777"/>
      <c r="J777"/>
      <c r="K777"/>
      <c r="L777"/>
      <c r="M777"/>
      <c r="N777"/>
      <c r="O777"/>
      <c r="P777"/>
      <c r="Q777"/>
    </row>
    <row r="778" spans="9:17" x14ac:dyDescent="0.3">
      <c r="I778"/>
      <c r="J778"/>
      <c r="K778"/>
      <c r="L778"/>
      <c r="M778"/>
      <c r="N778"/>
      <c r="O778"/>
      <c r="P778"/>
      <c r="Q778"/>
    </row>
    <row r="779" spans="9:17" x14ac:dyDescent="0.3">
      <c r="I779"/>
      <c r="J779"/>
      <c r="K779"/>
      <c r="L779"/>
      <c r="M779"/>
      <c r="N779"/>
      <c r="O779"/>
      <c r="P779"/>
      <c r="Q779"/>
    </row>
    <row r="780" spans="9:17" x14ac:dyDescent="0.3">
      <c r="I780"/>
      <c r="J780"/>
      <c r="K780"/>
      <c r="L780"/>
      <c r="M780"/>
      <c r="N780"/>
      <c r="O780"/>
      <c r="P780"/>
      <c r="Q780"/>
    </row>
    <row r="781" spans="9:17" x14ac:dyDescent="0.3">
      <c r="I781"/>
      <c r="J781"/>
      <c r="K781"/>
      <c r="L781"/>
      <c r="M781"/>
      <c r="N781"/>
      <c r="O781"/>
      <c r="P781"/>
      <c r="Q781"/>
    </row>
    <row r="782" spans="9:17" x14ac:dyDescent="0.3">
      <c r="I782"/>
      <c r="J782"/>
      <c r="K782"/>
      <c r="L782"/>
      <c r="M782"/>
      <c r="N782"/>
      <c r="O782"/>
      <c r="P782"/>
      <c r="Q782"/>
    </row>
    <row r="783" spans="9:17" x14ac:dyDescent="0.3">
      <c r="I783"/>
      <c r="J783"/>
      <c r="K783"/>
      <c r="L783"/>
      <c r="M783"/>
      <c r="N783"/>
      <c r="O783"/>
      <c r="P783"/>
      <c r="Q783"/>
    </row>
    <row r="784" spans="9:17" x14ac:dyDescent="0.3">
      <c r="I784"/>
      <c r="J784"/>
      <c r="K784"/>
      <c r="L784"/>
      <c r="M784"/>
      <c r="N784"/>
      <c r="O784"/>
      <c r="P784"/>
      <c r="Q784"/>
    </row>
    <row r="785" spans="9:17" x14ac:dyDescent="0.3">
      <c r="I785"/>
      <c r="J785"/>
      <c r="K785"/>
      <c r="L785"/>
      <c r="M785"/>
      <c r="N785"/>
      <c r="O785"/>
      <c r="P785"/>
      <c r="Q785"/>
    </row>
    <row r="786" spans="9:17" x14ac:dyDescent="0.3">
      <c r="I786"/>
      <c r="J786"/>
      <c r="K786"/>
      <c r="L786"/>
      <c r="M786"/>
      <c r="N786"/>
      <c r="O786"/>
      <c r="P786"/>
      <c r="Q786"/>
    </row>
    <row r="787" spans="9:17" x14ac:dyDescent="0.3">
      <c r="I787"/>
      <c r="J787"/>
      <c r="K787"/>
      <c r="L787"/>
      <c r="M787"/>
      <c r="N787"/>
      <c r="O787"/>
      <c r="P787"/>
      <c r="Q787"/>
    </row>
    <row r="788" spans="9:17" x14ac:dyDescent="0.3">
      <c r="I788"/>
      <c r="J788"/>
      <c r="K788"/>
      <c r="L788"/>
      <c r="M788"/>
      <c r="N788"/>
      <c r="O788"/>
      <c r="P788"/>
      <c r="Q788"/>
    </row>
    <row r="789" spans="9:17" x14ac:dyDescent="0.3">
      <c r="I789"/>
      <c r="J789"/>
      <c r="K789"/>
      <c r="L789"/>
      <c r="M789"/>
      <c r="N789"/>
      <c r="O789"/>
      <c r="P789"/>
      <c r="Q789"/>
    </row>
    <row r="790" spans="9:17" x14ac:dyDescent="0.3">
      <c r="I790"/>
      <c r="J790"/>
      <c r="K790"/>
      <c r="L790"/>
      <c r="M790"/>
      <c r="N790"/>
      <c r="O790"/>
      <c r="P790"/>
      <c r="Q790"/>
    </row>
    <row r="791" spans="9:17" x14ac:dyDescent="0.3">
      <c r="I791"/>
      <c r="J791"/>
      <c r="K791"/>
      <c r="L791"/>
      <c r="M791"/>
      <c r="N791"/>
      <c r="O791"/>
      <c r="P791"/>
      <c r="Q791"/>
    </row>
    <row r="792" spans="9:17" x14ac:dyDescent="0.3">
      <c r="I792"/>
      <c r="J792"/>
      <c r="K792"/>
      <c r="L792"/>
      <c r="M792"/>
      <c r="N792"/>
      <c r="O792"/>
      <c r="P792"/>
      <c r="Q792"/>
    </row>
    <row r="793" spans="9:17" x14ac:dyDescent="0.3">
      <c r="I793"/>
      <c r="J793"/>
      <c r="K793"/>
      <c r="L793"/>
      <c r="M793"/>
      <c r="N793"/>
      <c r="O793"/>
      <c r="P793"/>
      <c r="Q793"/>
    </row>
    <row r="794" spans="9:17" x14ac:dyDescent="0.3">
      <c r="I794"/>
      <c r="J794"/>
      <c r="K794"/>
      <c r="L794"/>
      <c r="M794"/>
      <c r="N794"/>
      <c r="O794"/>
      <c r="P794"/>
      <c r="Q794"/>
    </row>
    <row r="795" spans="9:17" x14ac:dyDescent="0.3">
      <c r="I795"/>
      <c r="J795"/>
      <c r="K795"/>
      <c r="L795"/>
      <c r="M795"/>
      <c r="N795"/>
      <c r="O795"/>
      <c r="P795"/>
      <c r="Q795"/>
    </row>
    <row r="796" spans="9:17" x14ac:dyDescent="0.3">
      <c r="I796"/>
      <c r="J796"/>
      <c r="K796"/>
      <c r="L796"/>
      <c r="M796"/>
      <c r="N796"/>
      <c r="O796"/>
      <c r="P796"/>
      <c r="Q796"/>
    </row>
    <row r="797" spans="9:17" x14ac:dyDescent="0.3">
      <c r="I797"/>
      <c r="J797"/>
      <c r="K797"/>
      <c r="L797"/>
      <c r="M797"/>
      <c r="N797"/>
      <c r="O797"/>
      <c r="P797"/>
      <c r="Q797"/>
    </row>
    <row r="798" spans="9:17" x14ac:dyDescent="0.3">
      <c r="I798"/>
      <c r="J798"/>
      <c r="K798"/>
      <c r="L798"/>
      <c r="M798"/>
      <c r="N798"/>
      <c r="O798"/>
      <c r="P798"/>
      <c r="Q798"/>
    </row>
    <row r="799" spans="9:17" x14ac:dyDescent="0.3">
      <c r="I799"/>
      <c r="J799"/>
      <c r="K799"/>
      <c r="L799"/>
      <c r="M799"/>
      <c r="N799"/>
      <c r="O799"/>
      <c r="P799"/>
      <c r="Q799"/>
    </row>
    <row r="800" spans="9:17" x14ac:dyDescent="0.3">
      <c r="I800"/>
      <c r="J800"/>
      <c r="K800"/>
      <c r="L800"/>
      <c r="M800"/>
      <c r="N800"/>
      <c r="O800"/>
      <c r="P800"/>
      <c r="Q800"/>
    </row>
    <row r="801" spans="9:17" x14ac:dyDescent="0.3">
      <c r="I801"/>
      <c r="J801"/>
      <c r="K801"/>
      <c r="L801"/>
      <c r="M801"/>
      <c r="N801"/>
      <c r="O801"/>
      <c r="P801"/>
      <c r="Q801"/>
    </row>
    <row r="802" spans="9:17" x14ac:dyDescent="0.3">
      <c r="I802"/>
      <c r="J802"/>
      <c r="K802"/>
      <c r="L802"/>
      <c r="M802"/>
      <c r="N802"/>
      <c r="O802"/>
      <c r="P802"/>
      <c r="Q802"/>
    </row>
    <row r="803" spans="9:17" x14ac:dyDescent="0.3">
      <c r="I803"/>
      <c r="J803"/>
      <c r="K803"/>
      <c r="L803"/>
      <c r="M803"/>
      <c r="N803"/>
      <c r="O803"/>
      <c r="P803"/>
      <c r="Q803"/>
    </row>
    <row r="804" spans="9:17" x14ac:dyDescent="0.3">
      <c r="I804"/>
      <c r="J804"/>
      <c r="K804"/>
      <c r="L804"/>
      <c r="M804"/>
      <c r="N804"/>
      <c r="O804"/>
      <c r="P804"/>
      <c r="Q804"/>
    </row>
    <row r="805" spans="9:17" x14ac:dyDescent="0.3">
      <c r="I805"/>
      <c r="J805"/>
      <c r="K805"/>
      <c r="L805"/>
      <c r="M805"/>
      <c r="N805"/>
      <c r="O805"/>
      <c r="P805"/>
      <c r="Q805"/>
    </row>
    <row r="806" spans="9:17" x14ac:dyDescent="0.3">
      <c r="I806"/>
      <c r="J806"/>
      <c r="K806"/>
      <c r="L806"/>
      <c r="M806"/>
      <c r="N806"/>
      <c r="O806"/>
      <c r="P806"/>
      <c r="Q806"/>
    </row>
    <row r="807" spans="9:17" x14ac:dyDescent="0.3">
      <c r="I807"/>
      <c r="J807"/>
      <c r="K807"/>
      <c r="L807"/>
      <c r="M807"/>
      <c r="N807"/>
      <c r="O807"/>
      <c r="P807"/>
      <c r="Q807"/>
    </row>
    <row r="808" spans="9:17" x14ac:dyDescent="0.3">
      <c r="I808"/>
      <c r="J808"/>
      <c r="K808"/>
      <c r="L808"/>
      <c r="M808"/>
      <c r="N808"/>
      <c r="O808"/>
      <c r="P808"/>
      <c r="Q808"/>
    </row>
    <row r="809" spans="9:17" x14ac:dyDescent="0.3">
      <c r="I809"/>
      <c r="J809"/>
      <c r="K809"/>
      <c r="L809"/>
      <c r="M809"/>
      <c r="N809"/>
      <c r="O809"/>
      <c r="P809"/>
      <c r="Q809"/>
    </row>
    <row r="810" spans="9:17" x14ac:dyDescent="0.3">
      <c r="I810"/>
      <c r="J810"/>
      <c r="K810"/>
      <c r="L810"/>
      <c r="M810"/>
      <c r="N810"/>
      <c r="O810"/>
      <c r="P810"/>
      <c r="Q810"/>
    </row>
    <row r="811" spans="9:17" x14ac:dyDescent="0.3">
      <c r="I811"/>
      <c r="J811"/>
      <c r="K811"/>
      <c r="L811"/>
      <c r="M811"/>
      <c r="N811"/>
      <c r="O811"/>
      <c r="P811"/>
      <c r="Q811"/>
    </row>
    <row r="812" spans="9:17" x14ac:dyDescent="0.3">
      <c r="I812"/>
      <c r="J812"/>
      <c r="K812"/>
      <c r="L812"/>
      <c r="M812"/>
      <c r="N812"/>
      <c r="O812"/>
      <c r="P812"/>
      <c r="Q812"/>
    </row>
    <row r="813" spans="9:17" x14ac:dyDescent="0.3">
      <c r="I813"/>
      <c r="J813"/>
      <c r="K813"/>
      <c r="L813"/>
      <c r="M813"/>
      <c r="N813"/>
      <c r="O813"/>
      <c r="P813"/>
      <c r="Q813"/>
    </row>
    <row r="814" spans="9:17" x14ac:dyDescent="0.3">
      <c r="I814"/>
      <c r="J814"/>
      <c r="K814"/>
      <c r="L814"/>
      <c r="M814"/>
      <c r="N814"/>
      <c r="O814"/>
      <c r="P814"/>
      <c r="Q814"/>
    </row>
    <row r="815" spans="9:17" x14ac:dyDescent="0.3">
      <c r="I815"/>
      <c r="J815"/>
      <c r="K815"/>
      <c r="L815"/>
      <c r="M815"/>
      <c r="N815"/>
      <c r="O815"/>
      <c r="P815"/>
      <c r="Q815"/>
    </row>
    <row r="816" spans="9:17" x14ac:dyDescent="0.3">
      <c r="I816"/>
      <c r="J816"/>
      <c r="K816"/>
      <c r="L816"/>
      <c r="M816"/>
      <c r="N816"/>
      <c r="O816"/>
      <c r="P816"/>
      <c r="Q816"/>
    </row>
    <row r="817" spans="9:17" x14ac:dyDescent="0.3">
      <c r="I817"/>
      <c r="J817"/>
      <c r="K817"/>
      <c r="L817"/>
      <c r="M817"/>
      <c r="N817"/>
      <c r="O817"/>
      <c r="P817"/>
      <c r="Q817"/>
    </row>
    <row r="818" spans="9:17" x14ac:dyDescent="0.3">
      <c r="I818"/>
      <c r="J818"/>
      <c r="K818"/>
      <c r="L818"/>
      <c r="M818"/>
      <c r="N818"/>
      <c r="O818"/>
      <c r="P818"/>
      <c r="Q818"/>
    </row>
    <row r="819" spans="9:17" x14ac:dyDescent="0.3">
      <c r="I819"/>
      <c r="J819"/>
      <c r="K819"/>
      <c r="L819"/>
      <c r="M819"/>
      <c r="N819"/>
      <c r="O819"/>
      <c r="P819"/>
      <c r="Q819"/>
    </row>
    <row r="820" spans="9:17" x14ac:dyDescent="0.3">
      <c r="I820"/>
      <c r="J820"/>
      <c r="K820"/>
      <c r="L820"/>
      <c r="M820"/>
      <c r="N820"/>
      <c r="O820"/>
      <c r="P820"/>
      <c r="Q820"/>
    </row>
    <row r="821" spans="9:17" x14ac:dyDescent="0.3">
      <c r="I821"/>
      <c r="J821"/>
      <c r="K821"/>
      <c r="L821"/>
      <c r="M821"/>
      <c r="N821"/>
      <c r="O821"/>
      <c r="P821"/>
      <c r="Q821"/>
    </row>
    <row r="822" spans="9:17" x14ac:dyDescent="0.3">
      <c r="I822"/>
      <c r="J822"/>
      <c r="K822"/>
      <c r="L822"/>
      <c r="M822"/>
      <c r="N822"/>
      <c r="O822"/>
      <c r="P822"/>
      <c r="Q822"/>
    </row>
    <row r="823" spans="9:17" x14ac:dyDescent="0.3">
      <c r="I823"/>
      <c r="J823"/>
      <c r="K823"/>
      <c r="L823"/>
      <c r="M823"/>
      <c r="N823"/>
      <c r="O823"/>
      <c r="P823"/>
      <c r="Q823"/>
    </row>
    <row r="824" spans="9:17" x14ac:dyDescent="0.3">
      <c r="I824"/>
      <c r="J824"/>
      <c r="K824"/>
      <c r="L824"/>
      <c r="M824"/>
      <c r="N824"/>
      <c r="O824"/>
      <c r="P824"/>
      <c r="Q824"/>
    </row>
    <row r="825" spans="9:17" x14ac:dyDescent="0.3">
      <c r="I825"/>
      <c r="J825"/>
      <c r="K825"/>
      <c r="L825"/>
      <c r="M825"/>
      <c r="N825"/>
      <c r="O825"/>
      <c r="P825"/>
      <c r="Q825"/>
    </row>
    <row r="826" spans="9:17" x14ac:dyDescent="0.3">
      <c r="I826"/>
      <c r="J826"/>
      <c r="K826"/>
      <c r="L826"/>
      <c r="M826"/>
      <c r="N826"/>
      <c r="O826"/>
      <c r="P826"/>
      <c r="Q826"/>
    </row>
    <row r="827" spans="9:17" x14ac:dyDescent="0.3">
      <c r="I827"/>
      <c r="J827"/>
      <c r="K827"/>
      <c r="L827"/>
      <c r="M827"/>
      <c r="N827"/>
      <c r="O827"/>
      <c r="P827"/>
      <c r="Q827"/>
    </row>
    <row r="828" spans="9:17" x14ac:dyDescent="0.3">
      <c r="I828"/>
      <c r="J828"/>
      <c r="K828"/>
      <c r="L828"/>
      <c r="M828"/>
      <c r="N828"/>
      <c r="O828"/>
      <c r="P828"/>
      <c r="Q828"/>
    </row>
    <row r="829" spans="9:17" x14ac:dyDescent="0.3">
      <c r="I829"/>
      <c r="J829"/>
      <c r="K829"/>
      <c r="L829"/>
      <c r="M829"/>
      <c r="N829"/>
      <c r="O829"/>
      <c r="P829"/>
      <c r="Q829"/>
    </row>
    <row r="830" spans="9:17" x14ac:dyDescent="0.3">
      <c r="I830"/>
      <c r="J830"/>
      <c r="K830"/>
      <c r="L830"/>
      <c r="M830"/>
      <c r="N830"/>
      <c r="O830"/>
      <c r="P830"/>
      <c r="Q830"/>
    </row>
    <row r="831" spans="9:17" x14ac:dyDescent="0.3">
      <c r="I831"/>
      <c r="J831"/>
      <c r="K831"/>
      <c r="L831"/>
      <c r="M831"/>
      <c r="N831"/>
      <c r="O831"/>
      <c r="P831"/>
      <c r="Q831"/>
    </row>
    <row r="832" spans="9:17" x14ac:dyDescent="0.3">
      <c r="I832"/>
      <c r="J832"/>
      <c r="K832"/>
      <c r="L832"/>
      <c r="M832"/>
      <c r="N832"/>
      <c r="O832"/>
      <c r="P832"/>
      <c r="Q832"/>
    </row>
    <row r="833" spans="9:17" x14ac:dyDescent="0.3">
      <c r="I833"/>
      <c r="J833"/>
      <c r="K833"/>
      <c r="L833"/>
      <c r="M833"/>
      <c r="N833"/>
      <c r="O833"/>
      <c r="P833"/>
      <c r="Q833"/>
    </row>
    <row r="834" spans="9:17" x14ac:dyDescent="0.3">
      <c r="I834"/>
      <c r="J834"/>
      <c r="K834"/>
      <c r="L834"/>
      <c r="M834"/>
      <c r="N834"/>
      <c r="O834"/>
      <c r="P834"/>
      <c r="Q834"/>
    </row>
    <row r="835" spans="9:17" x14ac:dyDescent="0.3">
      <c r="I835"/>
      <c r="J835"/>
      <c r="K835"/>
      <c r="L835"/>
      <c r="M835"/>
      <c r="N835"/>
      <c r="O835"/>
      <c r="P835"/>
      <c r="Q835"/>
    </row>
    <row r="836" spans="9:17" x14ac:dyDescent="0.3">
      <c r="I836"/>
      <c r="J836"/>
      <c r="K836"/>
      <c r="L836"/>
      <c r="M836"/>
      <c r="N836"/>
      <c r="O836"/>
      <c r="P836"/>
      <c r="Q836"/>
    </row>
    <row r="837" spans="9:17" x14ac:dyDescent="0.3">
      <c r="I837"/>
      <c r="J837"/>
      <c r="K837"/>
      <c r="L837"/>
      <c r="M837"/>
      <c r="N837"/>
      <c r="O837"/>
      <c r="P837"/>
      <c r="Q837"/>
    </row>
    <row r="838" spans="9:17" x14ac:dyDescent="0.3">
      <c r="I838"/>
      <c r="J838"/>
      <c r="K838"/>
      <c r="L838"/>
      <c r="M838"/>
      <c r="N838"/>
      <c r="O838"/>
      <c r="P838"/>
      <c r="Q838"/>
    </row>
    <row r="839" spans="9:17" x14ac:dyDescent="0.3">
      <c r="I839"/>
      <c r="J839"/>
      <c r="K839"/>
      <c r="L839"/>
      <c r="M839"/>
      <c r="N839"/>
      <c r="O839"/>
      <c r="P839"/>
      <c r="Q839"/>
    </row>
    <row r="840" spans="9:17" x14ac:dyDescent="0.3">
      <c r="I840"/>
      <c r="J840"/>
      <c r="K840"/>
      <c r="L840"/>
      <c r="M840"/>
      <c r="N840"/>
      <c r="O840"/>
      <c r="P840"/>
      <c r="Q840"/>
    </row>
    <row r="841" spans="9:17" x14ac:dyDescent="0.3">
      <c r="I841"/>
      <c r="J841"/>
      <c r="K841"/>
      <c r="L841"/>
      <c r="M841"/>
      <c r="N841"/>
      <c r="O841"/>
      <c r="P841"/>
      <c r="Q841"/>
    </row>
    <row r="842" spans="9:17" x14ac:dyDescent="0.3">
      <c r="I842"/>
      <c r="J842"/>
      <c r="K842"/>
      <c r="L842"/>
      <c r="M842"/>
      <c r="N842"/>
      <c r="O842"/>
      <c r="P842"/>
      <c r="Q842"/>
    </row>
    <row r="843" spans="9:17" x14ac:dyDescent="0.3">
      <c r="I843"/>
      <c r="J843"/>
      <c r="K843"/>
      <c r="L843"/>
      <c r="M843"/>
      <c r="N843"/>
      <c r="O843"/>
      <c r="P843"/>
      <c r="Q843"/>
    </row>
    <row r="844" spans="9:17" x14ac:dyDescent="0.3">
      <c r="I844"/>
      <c r="J844"/>
      <c r="K844"/>
      <c r="L844"/>
      <c r="M844"/>
      <c r="N844"/>
      <c r="O844"/>
      <c r="P844"/>
      <c r="Q844"/>
    </row>
    <row r="845" spans="9:17" x14ac:dyDescent="0.3">
      <c r="I845"/>
      <c r="J845"/>
      <c r="K845"/>
      <c r="L845"/>
      <c r="M845"/>
      <c r="N845"/>
      <c r="O845"/>
      <c r="P845"/>
      <c r="Q845"/>
    </row>
    <row r="846" spans="9:17" x14ac:dyDescent="0.3">
      <c r="I846"/>
      <c r="J846"/>
      <c r="K846"/>
      <c r="L846"/>
      <c r="M846"/>
      <c r="N846"/>
      <c r="O846"/>
      <c r="P846"/>
      <c r="Q846"/>
    </row>
    <row r="847" spans="9:17" x14ac:dyDescent="0.3">
      <c r="I847"/>
      <c r="J847"/>
      <c r="K847"/>
      <c r="L847"/>
      <c r="M847"/>
      <c r="N847"/>
      <c r="O847"/>
      <c r="P847"/>
      <c r="Q847"/>
    </row>
    <row r="848" spans="9:17" x14ac:dyDescent="0.3">
      <c r="I848"/>
      <c r="J848"/>
      <c r="K848"/>
      <c r="L848"/>
      <c r="M848"/>
      <c r="N848"/>
      <c r="O848"/>
      <c r="P848"/>
      <c r="Q848"/>
    </row>
    <row r="849" spans="9:17" x14ac:dyDescent="0.3">
      <c r="I849"/>
      <c r="J849"/>
      <c r="K849"/>
      <c r="L849"/>
      <c r="M849"/>
      <c r="N849"/>
      <c r="O849"/>
      <c r="P849"/>
      <c r="Q849"/>
    </row>
    <row r="850" spans="9:17" x14ac:dyDescent="0.3">
      <c r="I850"/>
      <c r="J850"/>
      <c r="K850"/>
      <c r="L850"/>
      <c r="M850"/>
      <c r="N850"/>
      <c r="O850"/>
      <c r="P850"/>
      <c r="Q850"/>
    </row>
    <row r="851" spans="9:17" x14ac:dyDescent="0.3">
      <c r="I851"/>
      <c r="J851"/>
      <c r="K851"/>
      <c r="L851"/>
      <c r="M851"/>
      <c r="N851"/>
      <c r="O851"/>
      <c r="P851"/>
      <c r="Q851"/>
    </row>
    <row r="852" spans="9:17" x14ac:dyDescent="0.3">
      <c r="I852"/>
      <c r="J852"/>
      <c r="K852"/>
      <c r="L852"/>
      <c r="M852"/>
      <c r="N852"/>
      <c r="O852"/>
      <c r="P852"/>
      <c r="Q852"/>
    </row>
    <row r="853" spans="9:17" x14ac:dyDescent="0.3">
      <c r="I853"/>
      <c r="J853"/>
      <c r="K853"/>
      <c r="L853"/>
      <c r="M853"/>
      <c r="N853"/>
      <c r="O853"/>
      <c r="P853"/>
      <c r="Q853"/>
    </row>
    <row r="854" spans="9:17" x14ac:dyDescent="0.3">
      <c r="I854"/>
      <c r="J854"/>
      <c r="K854"/>
      <c r="L854"/>
      <c r="M854"/>
      <c r="N854"/>
      <c r="O854"/>
      <c r="P854"/>
      <c r="Q854"/>
    </row>
    <row r="855" spans="9:17" x14ac:dyDescent="0.3">
      <c r="I855"/>
      <c r="J855"/>
      <c r="K855"/>
      <c r="L855"/>
      <c r="M855"/>
      <c r="N855"/>
      <c r="O855"/>
      <c r="P855"/>
      <c r="Q855"/>
    </row>
    <row r="856" spans="9:17" x14ac:dyDescent="0.3">
      <c r="I856"/>
      <c r="J856"/>
      <c r="K856"/>
      <c r="L856"/>
      <c r="M856"/>
      <c r="N856"/>
      <c r="O856"/>
      <c r="P856"/>
      <c r="Q856"/>
    </row>
    <row r="857" spans="9:17" x14ac:dyDescent="0.3">
      <c r="I857"/>
      <c r="J857"/>
      <c r="K857"/>
      <c r="L857"/>
      <c r="M857"/>
      <c r="N857"/>
      <c r="O857"/>
      <c r="P857"/>
      <c r="Q857"/>
    </row>
    <row r="858" spans="9:17" x14ac:dyDescent="0.3">
      <c r="I858"/>
      <c r="J858"/>
      <c r="K858"/>
      <c r="L858"/>
      <c r="M858"/>
      <c r="N858"/>
      <c r="O858"/>
      <c r="P858"/>
      <c r="Q858"/>
    </row>
    <row r="859" spans="9:17" x14ac:dyDescent="0.3">
      <c r="I859"/>
      <c r="J859"/>
      <c r="K859"/>
      <c r="L859"/>
      <c r="M859"/>
      <c r="N859"/>
      <c r="O859"/>
      <c r="P859"/>
      <c r="Q859"/>
    </row>
    <row r="860" spans="9:17" x14ac:dyDescent="0.3">
      <c r="I860"/>
      <c r="J860"/>
      <c r="K860"/>
      <c r="L860"/>
      <c r="M860"/>
      <c r="N860"/>
      <c r="O860"/>
      <c r="P860"/>
      <c r="Q860"/>
    </row>
    <row r="861" spans="9:17" x14ac:dyDescent="0.3">
      <c r="I861"/>
      <c r="J861"/>
      <c r="K861"/>
      <c r="L861"/>
      <c r="M861"/>
      <c r="N861"/>
      <c r="O861"/>
      <c r="P861"/>
      <c r="Q861"/>
    </row>
    <row r="862" spans="9:17" x14ac:dyDescent="0.3">
      <c r="I862"/>
      <c r="J862"/>
      <c r="K862"/>
      <c r="L862"/>
      <c r="M862"/>
      <c r="N862"/>
      <c r="O862"/>
      <c r="P862"/>
      <c r="Q862"/>
    </row>
    <row r="863" spans="9:17" x14ac:dyDescent="0.3">
      <c r="I863"/>
      <c r="J863"/>
      <c r="K863"/>
      <c r="L863"/>
      <c r="M863"/>
      <c r="N863"/>
      <c r="O863"/>
      <c r="P863"/>
      <c r="Q863"/>
    </row>
    <row r="864" spans="9:17" x14ac:dyDescent="0.3">
      <c r="I864"/>
      <c r="J864"/>
      <c r="K864"/>
      <c r="L864"/>
      <c r="M864"/>
      <c r="N864"/>
      <c r="O864"/>
      <c r="P864"/>
      <c r="Q864"/>
    </row>
    <row r="865" spans="9:17" x14ac:dyDescent="0.3">
      <c r="I865"/>
      <c r="J865"/>
      <c r="K865"/>
      <c r="L865"/>
      <c r="M865"/>
      <c r="N865"/>
      <c r="O865"/>
      <c r="P865"/>
      <c r="Q865"/>
    </row>
    <row r="866" spans="9:17" x14ac:dyDescent="0.3">
      <c r="I866"/>
      <c r="J866"/>
      <c r="K866"/>
      <c r="L866"/>
      <c r="M866"/>
      <c r="N866"/>
      <c r="O866"/>
      <c r="P866"/>
      <c r="Q866"/>
    </row>
    <row r="867" spans="9:17" x14ac:dyDescent="0.3">
      <c r="I867"/>
      <c r="J867"/>
      <c r="K867"/>
      <c r="L867"/>
      <c r="M867"/>
      <c r="N867"/>
      <c r="O867"/>
      <c r="P867"/>
      <c r="Q867"/>
    </row>
    <row r="868" spans="9:17" x14ac:dyDescent="0.3">
      <c r="I868"/>
      <c r="J868"/>
      <c r="K868"/>
      <c r="L868"/>
      <c r="M868"/>
      <c r="N868"/>
      <c r="O868"/>
      <c r="P868"/>
      <c r="Q868"/>
    </row>
    <row r="869" spans="9:17" x14ac:dyDescent="0.3">
      <c r="I869"/>
      <c r="J869"/>
      <c r="K869"/>
      <c r="L869"/>
      <c r="M869"/>
      <c r="N869"/>
      <c r="O869"/>
      <c r="P869"/>
      <c r="Q869"/>
    </row>
    <row r="870" spans="9:17" x14ac:dyDescent="0.3">
      <c r="I870"/>
      <c r="J870"/>
      <c r="K870"/>
      <c r="L870"/>
      <c r="M870"/>
      <c r="N870"/>
      <c r="O870"/>
      <c r="P870"/>
      <c r="Q870"/>
    </row>
    <row r="871" spans="9:17" x14ac:dyDescent="0.3">
      <c r="I871"/>
      <c r="J871"/>
      <c r="K871"/>
      <c r="L871"/>
      <c r="M871"/>
      <c r="N871"/>
      <c r="O871"/>
      <c r="P871"/>
      <c r="Q871"/>
    </row>
    <row r="872" spans="9:17" x14ac:dyDescent="0.3">
      <c r="I872"/>
      <c r="J872"/>
      <c r="K872"/>
      <c r="L872"/>
      <c r="M872"/>
      <c r="N872"/>
      <c r="O872"/>
      <c r="P872"/>
      <c r="Q872"/>
    </row>
    <row r="873" spans="9:17" x14ac:dyDescent="0.3">
      <c r="I873"/>
      <c r="J873"/>
      <c r="K873"/>
      <c r="L873"/>
      <c r="M873"/>
      <c r="N873"/>
      <c r="O873"/>
      <c r="P873"/>
      <c r="Q873"/>
    </row>
    <row r="874" spans="9:17" x14ac:dyDescent="0.3">
      <c r="I874"/>
      <c r="J874"/>
      <c r="K874"/>
      <c r="L874"/>
      <c r="M874"/>
      <c r="N874"/>
      <c r="O874"/>
      <c r="P874"/>
      <c r="Q874"/>
    </row>
    <row r="875" spans="9:17" x14ac:dyDescent="0.3">
      <c r="I875"/>
      <c r="J875"/>
      <c r="K875"/>
      <c r="L875"/>
      <c r="M875"/>
      <c r="N875"/>
      <c r="O875"/>
      <c r="P875"/>
      <c r="Q875"/>
    </row>
    <row r="876" spans="9:17" x14ac:dyDescent="0.3">
      <c r="I876"/>
      <c r="J876"/>
      <c r="K876"/>
      <c r="L876"/>
      <c r="M876"/>
      <c r="N876"/>
      <c r="O876"/>
      <c r="P876"/>
      <c r="Q876"/>
    </row>
    <row r="877" spans="9:17" x14ac:dyDescent="0.3">
      <c r="I877"/>
      <c r="J877"/>
      <c r="K877"/>
      <c r="L877"/>
      <c r="M877"/>
      <c r="N877"/>
      <c r="O877"/>
      <c r="P877"/>
      <c r="Q877"/>
    </row>
    <row r="878" spans="9:17" x14ac:dyDescent="0.3">
      <c r="I878"/>
      <c r="J878"/>
      <c r="K878"/>
      <c r="L878"/>
      <c r="M878"/>
      <c r="N878"/>
      <c r="O878"/>
      <c r="P878"/>
      <c r="Q878"/>
    </row>
    <row r="879" spans="9:17" x14ac:dyDescent="0.3">
      <c r="I879"/>
      <c r="J879"/>
      <c r="K879"/>
      <c r="L879"/>
      <c r="M879"/>
      <c r="N879"/>
      <c r="O879"/>
      <c r="P879"/>
      <c r="Q879"/>
    </row>
    <row r="880" spans="9:17" x14ac:dyDescent="0.3">
      <c r="I880"/>
      <c r="J880"/>
      <c r="K880"/>
      <c r="L880"/>
      <c r="M880"/>
      <c r="N880"/>
      <c r="O880"/>
      <c r="P880"/>
      <c r="Q880"/>
    </row>
    <row r="881" spans="9:17" x14ac:dyDescent="0.3">
      <c r="I881"/>
      <c r="J881"/>
      <c r="K881"/>
      <c r="L881"/>
      <c r="M881"/>
      <c r="N881"/>
      <c r="O881"/>
      <c r="P881"/>
      <c r="Q881"/>
    </row>
    <row r="882" spans="9:17" x14ac:dyDescent="0.3">
      <c r="I882"/>
      <c r="J882"/>
      <c r="K882"/>
      <c r="L882"/>
      <c r="M882"/>
      <c r="N882"/>
      <c r="O882"/>
      <c r="P882"/>
      <c r="Q882"/>
    </row>
    <row r="883" spans="9:17" x14ac:dyDescent="0.3">
      <c r="I883"/>
      <c r="J883"/>
      <c r="K883"/>
      <c r="L883"/>
      <c r="M883"/>
      <c r="N883"/>
      <c r="O883"/>
      <c r="P883"/>
      <c r="Q883"/>
    </row>
    <row r="884" spans="9:17" x14ac:dyDescent="0.3">
      <c r="I884"/>
      <c r="J884"/>
      <c r="K884"/>
      <c r="L884"/>
      <c r="M884"/>
      <c r="N884"/>
      <c r="O884"/>
      <c r="P884"/>
      <c r="Q884"/>
    </row>
    <row r="885" spans="9:17" x14ac:dyDescent="0.3">
      <c r="I885"/>
      <c r="J885"/>
      <c r="K885"/>
      <c r="L885"/>
      <c r="M885"/>
      <c r="N885"/>
      <c r="O885"/>
      <c r="P885"/>
      <c r="Q885"/>
    </row>
    <row r="886" spans="9:17" x14ac:dyDescent="0.3">
      <c r="I886"/>
      <c r="J886"/>
      <c r="K886"/>
      <c r="L886"/>
      <c r="M886"/>
      <c r="N886"/>
      <c r="O886"/>
      <c r="P886"/>
      <c r="Q886"/>
    </row>
    <row r="887" spans="9:17" x14ac:dyDescent="0.3">
      <c r="I887"/>
      <c r="J887"/>
      <c r="K887"/>
      <c r="L887"/>
      <c r="M887"/>
      <c r="N887"/>
      <c r="O887"/>
      <c r="P887"/>
      <c r="Q887"/>
    </row>
    <row r="888" spans="9:17" x14ac:dyDescent="0.3">
      <c r="I888"/>
      <c r="J888"/>
      <c r="K888"/>
      <c r="L888"/>
      <c r="M888"/>
      <c r="N888"/>
      <c r="O888"/>
      <c r="P888"/>
      <c r="Q888"/>
    </row>
    <row r="889" spans="9:17" x14ac:dyDescent="0.3">
      <c r="I889"/>
      <c r="J889"/>
      <c r="K889"/>
      <c r="L889"/>
      <c r="M889"/>
      <c r="N889"/>
      <c r="O889"/>
      <c r="P889"/>
      <c r="Q889"/>
    </row>
    <row r="890" spans="9:17" x14ac:dyDescent="0.3">
      <c r="I890"/>
      <c r="J890"/>
      <c r="K890"/>
      <c r="L890"/>
      <c r="M890"/>
      <c r="N890"/>
      <c r="O890"/>
      <c r="P890"/>
      <c r="Q890"/>
    </row>
    <row r="891" spans="9:17" x14ac:dyDescent="0.3">
      <c r="I891"/>
      <c r="J891"/>
      <c r="K891"/>
      <c r="L891"/>
      <c r="M891"/>
      <c r="N891"/>
      <c r="O891"/>
      <c r="P891"/>
      <c r="Q891"/>
    </row>
    <row r="892" spans="9:17" x14ac:dyDescent="0.3">
      <c r="I892"/>
      <c r="J892"/>
      <c r="K892"/>
      <c r="L892"/>
      <c r="M892"/>
      <c r="N892"/>
      <c r="O892"/>
      <c r="P892"/>
      <c r="Q892"/>
    </row>
    <row r="893" spans="9:17" x14ac:dyDescent="0.3">
      <c r="I893"/>
      <c r="J893"/>
      <c r="K893"/>
      <c r="L893"/>
      <c r="M893"/>
      <c r="N893"/>
      <c r="O893"/>
      <c r="P893"/>
      <c r="Q893"/>
    </row>
    <row r="894" spans="9:17" x14ac:dyDescent="0.3">
      <c r="I894"/>
      <c r="J894"/>
      <c r="K894"/>
      <c r="L894"/>
      <c r="M894"/>
      <c r="N894"/>
      <c r="O894"/>
      <c r="P894"/>
      <c r="Q894"/>
    </row>
    <row r="895" spans="9:17" x14ac:dyDescent="0.3">
      <c r="I895"/>
      <c r="J895"/>
      <c r="K895"/>
      <c r="L895"/>
      <c r="M895"/>
      <c r="N895"/>
      <c r="O895"/>
      <c r="P895"/>
      <c r="Q895"/>
    </row>
    <row r="896" spans="9:17" x14ac:dyDescent="0.3">
      <c r="I896"/>
      <c r="J896"/>
      <c r="K896"/>
      <c r="L896"/>
      <c r="M896"/>
      <c r="N896"/>
      <c r="O896"/>
      <c r="P896"/>
      <c r="Q896"/>
    </row>
    <row r="897" spans="9:17" x14ac:dyDescent="0.3">
      <c r="I897"/>
      <c r="J897"/>
      <c r="K897"/>
      <c r="L897"/>
      <c r="M897"/>
      <c r="N897"/>
      <c r="O897"/>
      <c r="P897"/>
      <c r="Q897"/>
    </row>
    <row r="898" spans="9:17" x14ac:dyDescent="0.3">
      <c r="I898"/>
      <c r="J898"/>
      <c r="K898"/>
      <c r="L898"/>
      <c r="M898"/>
      <c r="N898"/>
      <c r="O898"/>
      <c r="P898"/>
      <c r="Q898"/>
    </row>
    <row r="899" spans="9:17" x14ac:dyDescent="0.3">
      <c r="I899"/>
      <c r="J899"/>
      <c r="K899"/>
      <c r="L899"/>
      <c r="M899"/>
      <c r="N899"/>
      <c r="O899"/>
      <c r="P899"/>
      <c r="Q899"/>
    </row>
    <row r="900" spans="9:17" x14ac:dyDescent="0.3">
      <c r="I900"/>
      <c r="J900"/>
      <c r="K900"/>
      <c r="L900"/>
      <c r="M900"/>
      <c r="N900"/>
      <c r="O900"/>
      <c r="P900"/>
      <c r="Q900"/>
    </row>
    <row r="901" spans="9:17" x14ac:dyDescent="0.3">
      <c r="I901"/>
      <c r="J901"/>
      <c r="K901"/>
      <c r="L901"/>
      <c r="M901"/>
      <c r="N901"/>
      <c r="O901"/>
      <c r="P901"/>
      <c r="Q901"/>
    </row>
    <row r="902" spans="9:17" x14ac:dyDescent="0.3">
      <c r="I902"/>
      <c r="J902"/>
      <c r="K902"/>
      <c r="L902"/>
      <c r="M902"/>
      <c r="N902"/>
      <c r="O902"/>
      <c r="P902"/>
      <c r="Q902"/>
    </row>
    <row r="903" spans="9:17" x14ac:dyDescent="0.3">
      <c r="I903"/>
      <c r="J903"/>
      <c r="K903"/>
      <c r="L903"/>
      <c r="M903"/>
      <c r="N903"/>
      <c r="O903"/>
      <c r="P903"/>
      <c r="Q903"/>
    </row>
    <row r="904" spans="9:17" x14ac:dyDescent="0.3">
      <c r="I904"/>
      <c r="J904"/>
      <c r="K904"/>
      <c r="L904"/>
      <c r="M904"/>
      <c r="N904"/>
      <c r="O904"/>
      <c r="P904"/>
      <c r="Q904"/>
    </row>
    <row r="905" spans="9:17" x14ac:dyDescent="0.3">
      <c r="I905"/>
      <c r="J905"/>
      <c r="K905"/>
      <c r="L905"/>
      <c r="M905"/>
      <c r="N905"/>
      <c r="O905"/>
      <c r="P905"/>
      <c r="Q905"/>
    </row>
    <row r="906" spans="9:17" x14ac:dyDescent="0.3">
      <c r="I906"/>
      <c r="J906"/>
      <c r="K906"/>
      <c r="L906"/>
      <c r="M906"/>
      <c r="N906"/>
      <c r="O906"/>
      <c r="P906"/>
      <c r="Q906"/>
    </row>
    <row r="907" spans="9:17" x14ac:dyDescent="0.3">
      <c r="I907"/>
      <c r="J907"/>
      <c r="K907"/>
      <c r="L907"/>
      <c r="M907"/>
      <c r="N907"/>
      <c r="O907"/>
      <c r="P907"/>
      <c r="Q907"/>
    </row>
    <row r="908" spans="9:17" x14ac:dyDescent="0.3">
      <c r="I908"/>
      <c r="J908"/>
      <c r="K908"/>
      <c r="L908"/>
      <c r="M908"/>
      <c r="N908"/>
      <c r="O908"/>
      <c r="P908"/>
      <c r="Q908"/>
    </row>
    <row r="909" spans="9:17" x14ac:dyDescent="0.3">
      <c r="I909"/>
      <c r="J909"/>
      <c r="K909"/>
      <c r="L909"/>
      <c r="M909"/>
      <c r="N909"/>
      <c r="O909"/>
      <c r="P909"/>
      <c r="Q909"/>
    </row>
    <row r="910" spans="9:17" x14ac:dyDescent="0.3">
      <c r="I910"/>
      <c r="J910"/>
      <c r="K910"/>
      <c r="L910"/>
      <c r="M910"/>
      <c r="N910"/>
      <c r="O910"/>
      <c r="P910"/>
      <c r="Q910"/>
    </row>
    <row r="911" spans="9:17" x14ac:dyDescent="0.3">
      <c r="I911"/>
      <c r="J911"/>
      <c r="K911"/>
      <c r="L911"/>
      <c r="M911"/>
      <c r="N911"/>
      <c r="O911"/>
      <c r="P911"/>
      <c r="Q911"/>
    </row>
    <row r="912" spans="9:17" x14ac:dyDescent="0.3">
      <c r="I912"/>
      <c r="J912"/>
      <c r="K912"/>
      <c r="L912"/>
      <c r="M912"/>
      <c r="N912"/>
      <c r="O912"/>
      <c r="P912"/>
      <c r="Q912"/>
    </row>
    <row r="913" spans="9:17" x14ac:dyDescent="0.3">
      <c r="I913"/>
      <c r="J913"/>
      <c r="K913"/>
      <c r="L913"/>
      <c r="M913"/>
      <c r="N913"/>
      <c r="O913"/>
      <c r="P913"/>
      <c r="Q913"/>
    </row>
    <row r="914" spans="9:17" x14ac:dyDescent="0.3">
      <c r="I914"/>
      <c r="J914"/>
      <c r="K914"/>
      <c r="L914"/>
      <c r="M914"/>
      <c r="N914"/>
      <c r="O914"/>
      <c r="P914"/>
      <c r="Q914"/>
    </row>
    <row r="915" spans="9:17" x14ac:dyDescent="0.3">
      <c r="I915"/>
      <c r="J915"/>
      <c r="K915"/>
      <c r="L915"/>
      <c r="M915"/>
      <c r="N915"/>
      <c r="O915"/>
      <c r="P915"/>
      <c r="Q915"/>
    </row>
    <row r="916" spans="9:17" x14ac:dyDescent="0.3">
      <c r="I916"/>
      <c r="J916"/>
      <c r="K916"/>
      <c r="L916"/>
      <c r="M916"/>
      <c r="N916"/>
      <c r="O916"/>
      <c r="P916"/>
      <c r="Q916"/>
    </row>
    <row r="917" spans="9:17" x14ac:dyDescent="0.3">
      <c r="I917"/>
      <c r="J917"/>
      <c r="K917"/>
      <c r="L917"/>
      <c r="M917"/>
      <c r="N917"/>
      <c r="O917"/>
      <c r="P917"/>
      <c r="Q917"/>
    </row>
    <row r="918" spans="9:17" x14ac:dyDescent="0.3">
      <c r="I918"/>
      <c r="J918"/>
      <c r="K918"/>
      <c r="L918"/>
      <c r="M918"/>
      <c r="N918"/>
      <c r="O918"/>
      <c r="P918"/>
      <c r="Q918"/>
    </row>
    <row r="919" spans="9:17" x14ac:dyDescent="0.3">
      <c r="I919"/>
      <c r="J919"/>
      <c r="K919"/>
      <c r="L919"/>
      <c r="M919"/>
      <c r="N919"/>
      <c r="O919"/>
      <c r="P919"/>
      <c r="Q919"/>
    </row>
    <row r="920" spans="9:17" x14ac:dyDescent="0.3">
      <c r="I920"/>
      <c r="J920"/>
      <c r="K920"/>
      <c r="L920"/>
      <c r="M920"/>
      <c r="N920"/>
      <c r="O920"/>
      <c r="P920"/>
      <c r="Q920"/>
    </row>
    <row r="921" spans="9:17" x14ac:dyDescent="0.3">
      <c r="I921"/>
      <c r="J921"/>
      <c r="K921"/>
      <c r="L921"/>
      <c r="M921"/>
      <c r="N921"/>
      <c r="O921"/>
      <c r="P921"/>
      <c r="Q921"/>
    </row>
    <row r="922" spans="9:17" x14ac:dyDescent="0.3">
      <c r="I922"/>
      <c r="J922"/>
      <c r="K922"/>
      <c r="L922"/>
      <c r="M922"/>
      <c r="N922"/>
      <c r="O922"/>
      <c r="P922"/>
      <c r="Q922"/>
    </row>
    <row r="923" spans="9:17" x14ac:dyDescent="0.3">
      <c r="I923"/>
      <c r="J923"/>
      <c r="K923"/>
      <c r="L923"/>
      <c r="M923"/>
      <c r="N923"/>
      <c r="O923"/>
      <c r="P923"/>
      <c r="Q923"/>
    </row>
    <row r="924" spans="9:17" x14ac:dyDescent="0.3">
      <c r="I924"/>
      <c r="J924"/>
      <c r="K924"/>
      <c r="L924"/>
      <c r="M924"/>
      <c r="N924"/>
      <c r="O924"/>
      <c r="P924"/>
      <c r="Q924"/>
    </row>
    <row r="925" spans="9:17" x14ac:dyDescent="0.3">
      <c r="I925"/>
      <c r="J925"/>
      <c r="K925"/>
      <c r="L925"/>
      <c r="M925"/>
      <c r="N925"/>
      <c r="O925"/>
      <c r="P925"/>
      <c r="Q925"/>
    </row>
    <row r="926" spans="9:17" x14ac:dyDescent="0.3">
      <c r="I926"/>
      <c r="J926"/>
      <c r="K926"/>
      <c r="L926"/>
      <c r="M926"/>
      <c r="N926"/>
      <c r="O926"/>
      <c r="P926"/>
      <c r="Q926"/>
    </row>
    <row r="927" spans="9:17" x14ac:dyDescent="0.3">
      <c r="I927"/>
      <c r="J927"/>
      <c r="K927"/>
      <c r="L927"/>
      <c r="M927"/>
      <c r="N927"/>
      <c r="O927"/>
      <c r="P927"/>
      <c r="Q927"/>
    </row>
    <row r="928" spans="9:17" x14ac:dyDescent="0.3">
      <c r="I928"/>
      <c r="J928"/>
      <c r="K928"/>
      <c r="L928"/>
      <c r="M928"/>
      <c r="N928"/>
      <c r="O928"/>
      <c r="P928"/>
      <c r="Q928"/>
    </row>
    <row r="929" spans="9:17" x14ac:dyDescent="0.3">
      <c r="I929"/>
      <c r="J929"/>
      <c r="K929"/>
      <c r="L929"/>
      <c r="M929"/>
      <c r="N929"/>
      <c r="O929"/>
      <c r="P929"/>
      <c r="Q929"/>
    </row>
    <row r="930" spans="9:17" x14ac:dyDescent="0.3">
      <c r="I930"/>
      <c r="J930"/>
      <c r="K930"/>
      <c r="L930"/>
      <c r="M930"/>
      <c r="N930"/>
      <c r="O930"/>
      <c r="P930"/>
      <c r="Q930"/>
    </row>
    <row r="931" spans="9:17" x14ac:dyDescent="0.3">
      <c r="I931"/>
      <c r="J931"/>
      <c r="K931"/>
      <c r="L931"/>
      <c r="M931"/>
      <c r="N931"/>
      <c r="O931"/>
      <c r="P931"/>
      <c r="Q931"/>
    </row>
    <row r="932" spans="9:17" x14ac:dyDescent="0.3">
      <c r="I932"/>
      <c r="J932"/>
      <c r="K932"/>
      <c r="L932"/>
      <c r="M932"/>
      <c r="N932"/>
      <c r="O932"/>
      <c r="P932"/>
      <c r="Q932"/>
    </row>
    <row r="933" spans="9:17" x14ac:dyDescent="0.3">
      <c r="I933"/>
      <c r="J933"/>
      <c r="K933"/>
      <c r="L933"/>
      <c r="M933"/>
      <c r="N933"/>
      <c r="O933"/>
      <c r="P933"/>
      <c r="Q933"/>
    </row>
    <row r="934" spans="9:17" x14ac:dyDescent="0.3">
      <c r="I934"/>
      <c r="J934"/>
      <c r="K934"/>
      <c r="L934"/>
      <c r="M934"/>
      <c r="N934"/>
      <c r="O934"/>
      <c r="P934"/>
      <c r="Q934"/>
    </row>
    <row r="935" spans="9:17" x14ac:dyDescent="0.3">
      <c r="I935"/>
      <c r="J935"/>
      <c r="K935"/>
      <c r="L935"/>
      <c r="M935"/>
      <c r="N935"/>
      <c r="O935"/>
      <c r="P935"/>
      <c r="Q935"/>
    </row>
    <row r="936" spans="9:17" x14ac:dyDescent="0.3">
      <c r="I936"/>
      <c r="J936"/>
      <c r="K936"/>
      <c r="L936"/>
      <c r="M936"/>
      <c r="N936"/>
      <c r="O936"/>
      <c r="P936"/>
      <c r="Q936"/>
    </row>
    <row r="937" spans="9:17" x14ac:dyDescent="0.3">
      <c r="I937"/>
      <c r="J937"/>
      <c r="K937"/>
      <c r="L937"/>
      <c r="M937"/>
      <c r="N937"/>
      <c r="O937"/>
      <c r="P937"/>
      <c r="Q937"/>
    </row>
    <row r="938" spans="9:17" x14ac:dyDescent="0.3">
      <c r="I938"/>
      <c r="J938"/>
      <c r="K938"/>
      <c r="L938"/>
      <c r="M938"/>
      <c r="N938"/>
      <c r="O938"/>
      <c r="P938"/>
      <c r="Q938"/>
    </row>
    <row r="939" spans="9:17" x14ac:dyDescent="0.3">
      <c r="I939"/>
      <c r="J939"/>
      <c r="K939"/>
      <c r="L939"/>
      <c r="M939"/>
      <c r="N939"/>
      <c r="O939"/>
      <c r="P939"/>
      <c r="Q939"/>
    </row>
    <row r="940" spans="9:17" x14ac:dyDescent="0.3">
      <c r="I940"/>
      <c r="J940"/>
      <c r="K940"/>
      <c r="L940"/>
      <c r="M940"/>
      <c r="N940"/>
      <c r="O940"/>
      <c r="P940"/>
      <c r="Q940"/>
    </row>
    <row r="941" spans="9:17" x14ac:dyDescent="0.3">
      <c r="I941"/>
      <c r="J941"/>
      <c r="K941"/>
      <c r="L941"/>
      <c r="M941"/>
      <c r="N941"/>
      <c r="O941"/>
      <c r="P941"/>
      <c r="Q941"/>
    </row>
    <row r="942" spans="9:17" x14ac:dyDescent="0.3">
      <c r="I942"/>
      <c r="J942"/>
      <c r="K942"/>
      <c r="L942"/>
      <c r="M942"/>
      <c r="N942"/>
      <c r="O942"/>
      <c r="P942"/>
      <c r="Q942"/>
    </row>
    <row r="943" spans="9:17" x14ac:dyDescent="0.3">
      <c r="I943"/>
      <c r="J943"/>
      <c r="K943"/>
      <c r="L943"/>
      <c r="M943"/>
      <c r="N943"/>
      <c r="O943"/>
      <c r="P943"/>
      <c r="Q943"/>
    </row>
    <row r="944" spans="9:17" x14ac:dyDescent="0.3">
      <c r="I944"/>
      <c r="J944"/>
      <c r="K944"/>
      <c r="L944"/>
      <c r="M944"/>
      <c r="N944"/>
      <c r="O944"/>
      <c r="P944"/>
      <c r="Q944"/>
    </row>
    <row r="945" spans="9:17" x14ac:dyDescent="0.3">
      <c r="I945"/>
      <c r="J945"/>
      <c r="K945"/>
      <c r="L945"/>
      <c r="M945"/>
      <c r="N945"/>
      <c r="O945"/>
      <c r="P945"/>
      <c r="Q945"/>
    </row>
    <row r="946" spans="9:17" x14ac:dyDescent="0.3">
      <c r="I946"/>
      <c r="J946"/>
      <c r="K946"/>
      <c r="L946"/>
      <c r="M946"/>
      <c r="N946"/>
      <c r="O946"/>
      <c r="P946"/>
      <c r="Q946"/>
    </row>
    <row r="947" spans="9:17" x14ac:dyDescent="0.3">
      <c r="I947"/>
      <c r="J947"/>
      <c r="K947"/>
      <c r="L947"/>
      <c r="M947"/>
      <c r="N947"/>
      <c r="O947"/>
      <c r="P947"/>
      <c r="Q947"/>
    </row>
    <row r="948" spans="9:17" x14ac:dyDescent="0.3">
      <c r="I948"/>
      <c r="J948"/>
      <c r="K948"/>
      <c r="L948"/>
      <c r="M948"/>
      <c r="N948"/>
      <c r="O948"/>
      <c r="P948"/>
      <c r="Q948"/>
    </row>
    <row r="949" spans="9:17" x14ac:dyDescent="0.3">
      <c r="I949"/>
      <c r="J949"/>
      <c r="K949"/>
      <c r="L949"/>
      <c r="M949"/>
      <c r="N949"/>
      <c r="O949"/>
      <c r="P949"/>
      <c r="Q949"/>
    </row>
    <row r="950" spans="9:17" x14ac:dyDescent="0.3">
      <c r="I950"/>
      <c r="J950"/>
      <c r="K950"/>
      <c r="L950"/>
      <c r="M950"/>
      <c r="N950"/>
      <c r="O950"/>
      <c r="P950"/>
      <c r="Q950"/>
    </row>
    <row r="951" spans="9:17" x14ac:dyDescent="0.3">
      <c r="I951"/>
      <c r="J951"/>
      <c r="K951"/>
      <c r="L951"/>
      <c r="M951"/>
      <c r="N951"/>
      <c r="O951"/>
      <c r="P951"/>
      <c r="Q951"/>
    </row>
    <row r="952" spans="9:17" x14ac:dyDescent="0.3">
      <c r="I952"/>
      <c r="J952"/>
      <c r="K952"/>
      <c r="L952"/>
      <c r="M952"/>
      <c r="N952"/>
      <c r="O952"/>
      <c r="P952"/>
      <c r="Q952"/>
    </row>
    <row r="953" spans="9:17" x14ac:dyDescent="0.3">
      <c r="I953"/>
      <c r="J953"/>
      <c r="K953"/>
      <c r="L953"/>
      <c r="M953"/>
      <c r="N953"/>
      <c r="O953"/>
      <c r="P953"/>
      <c r="Q953"/>
    </row>
    <row r="954" spans="9:17" x14ac:dyDescent="0.3">
      <c r="I954"/>
      <c r="J954"/>
      <c r="K954"/>
      <c r="L954"/>
      <c r="M954"/>
      <c r="N954"/>
      <c r="O954"/>
      <c r="P954"/>
      <c r="Q954"/>
    </row>
    <row r="955" spans="9:17" x14ac:dyDescent="0.3">
      <c r="I955"/>
      <c r="J955"/>
      <c r="K955"/>
      <c r="L955"/>
      <c r="M955"/>
      <c r="N955"/>
      <c r="O955"/>
      <c r="P955"/>
      <c r="Q955"/>
    </row>
    <row r="956" spans="9:17" x14ac:dyDescent="0.3">
      <c r="I956"/>
      <c r="J956"/>
      <c r="K956"/>
      <c r="L956"/>
      <c r="M956"/>
      <c r="N956"/>
      <c r="O956"/>
      <c r="P956"/>
      <c r="Q956"/>
    </row>
    <row r="957" spans="9:17" x14ac:dyDescent="0.3">
      <c r="I957"/>
      <c r="J957"/>
      <c r="K957"/>
      <c r="L957"/>
      <c r="M957"/>
      <c r="N957"/>
      <c r="O957"/>
      <c r="P957"/>
      <c r="Q957"/>
    </row>
    <row r="958" spans="9:17" x14ac:dyDescent="0.3">
      <c r="I958"/>
      <c r="J958"/>
      <c r="K958"/>
      <c r="L958"/>
      <c r="M958"/>
      <c r="N958"/>
      <c r="O958"/>
      <c r="P958"/>
      <c r="Q958"/>
    </row>
    <row r="959" spans="9:17" x14ac:dyDescent="0.3">
      <c r="I959"/>
      <c r="J959"/>
      <c r="K959"/>
      <c r="L959"/>
      <c r="M959"/>
      <c r="N959"/>
      <c r="O959"/>
      <c r="P959"/>
      <c r="Q959"/>
    </row>
    <row r="960" spans="9:17" x14ac:dyDescent="0.3">
      <c r="I960"/>
      <c r="J960"/>
      <c r="K960"/>
      <c r="L960"/>
      <c r="M960"/>
      <c r="N960"/>
      <c r="O960"/>
      <c r="P960"/>
      <c r="Q960"/>
    </row>
    <row r="961" spans="9:17" x14ac:dyDescent="0.3">
      <c r="I961"/>
      <c r="J961"/>
      <c r="K961"/>
      <c r="L961"/>
      <c r="M961"/>
      <c r="N961"/>
      <c r="O961"/>
      <c r="P961"/>
      <c r="Q961"/>
    </row>
    <row r="962" spans="9:17" x14ac:dyDescent="0.3">
      <c r="I962"/>
      <c r="J962"/>
      <c r="K962"/>
      <c r="L962"/>
      <c r="M962"/>
      <c r="N962"/>
      <c r="O962"/>
      <c r="P962"/>
      <c r="Q962"/>
    </row>
    <row r="963" spans="9:17" x14ac:dyDescent="0.3">
      <c r="I963"/>
      <c r="J963"/>
      <c r="K963"/>
      <c r="L963"/>
      <c r="M963"/>
      <c r="N963"/>
      <c r="O963"/>
      <c r="P963"/>
      <c r="Q963"/>
    </row>
    <row r="964" spans="9:17" x14ac:dyDescent="0.3">
      <c r="I964"/>
      <c r="J964"/>
      <c r="K964"/>
      <c r="L964"/>
      <c r="M964"/>
      <c r="N964"/>
      <c r="O964"/>
      <c r="P964"/>
      <c r="Q964"/>
    </row>
    <row r="965" spans="9:17" x14ac:dyDescent="0.3">
      <c r="I965"/>
      <c r="J965"/>
      <c r="K965"/>
      <c r="L965"/>
      <c r="M965"/>
      <c r="N965"/>
      <c r="O965"/>
      <c r="P965"/>
      <c r="Q965"/>
    </row>
    <row r="966" spans="9:17" x14ac:dyDescent="0.3">
      <c r="I966"/>
      <c r="J966"/>
      <c r="K966"/>
      <c r="L966"/>
      <c r="M966"/>
      <c r="N966"/>
      <c r="O966"/>
      <c r="P966"/>
      <c r="Q966"/>
    </row>
    <row r="967" spans="9:17" x14ac:dyDescent="0.3">
      <c r="I967"/>
      <c r="J967"/>
      <c r="K967"/>
      <c r="L967"/>
      <c r="M967"/>
      <c r="N967"/>
      <c r="O967"/>
      <c r="P967"/>
      <c r="Q967"/>
    </row>
    <row r="968" spans="9:17" x14ac:dyDescent="0.3">
      <c r="I968"/>
      <c r="J968"/>
      <c r="K968"/>
      <c r="L968"/>
      <c r="M968"/>
      <c r="N968"/>
      <c r="O968"/>
      <c r="P968"/>
      <c r="Q968"/>
    </row>
    <row r="969" spans="9:17" x14ac:dyDescent="0.3">
      <c r="I969"/>
      <c r="J969"/>
      <c r="K969"/>
      <c r="L969"/>
      <c r="M969"/>
      <c r="N969"/>
      <c r="O969"/>
      <c r="P969"/>
      <c r="Q969"/>
    </row>
    <row r="970" spans="9:17" x14ac:dyDescent="0.3">
      <c r="I970"/>
      <c r="J970"/>
      <c r="K970"/>
      <c r="L970"/>
      <c r="M970"/>
      <c r="N970"/>
      <c r="O970"/>
      <c r="P970"/>
      <c r="Q970"/>
    </row>
    <row r="971" spans="9:17" x14ac:dyDescent="0.3">
      <c r="I971"/>
      <c r="J971"/>
      <c r="K971"/>
      <c r="L971"/>
      <c r="M971"/>
      <c r="N971"/>
      <c r="O971"/>
      <c r="P971"/>
      <c r="Q971"/>
    </row>
    <row r="972" spans="9:17" x14ac:dyDescent="0.3">
      <c r="I972"/>
      <c r="J972"/>
      <c r="K972"/>
      <c r="L972"/>
      <c r="M972"/>
      <c r="N972"/>
      <c r="O972"/>
      <c r="P972"/>
      <c r="Q972"/>
    </row>
    <row r="973" spans="9:17" x14ac:dyDescent="0.3">
      <c r="I973"/>
      <c r="J973"/>
      <c r="K973"/>
      <c r="L973"/>
      <c r="M973"/>
      <c r="N973"/>
      <c r="O973"/>
      <c r="P973"/>
      <c r="Q973"/>
    </row>
    <row r="974" spans="9:17" x14ac:dyDescent="0.3">
      <c r="I974"/>
      <c r="J974"/>
      <c r="K974"/>
      <c r="L974"/>
      <c r="M974"/>
      <c r="N974"/>
      <c r="O974"/>
      <c r="P974"/>
      <c r="Q974"/>
    </row>
    <row r="975" spans="9:17" x14ac:dyDescent="0.3">
      <c r="I975"/>
      <c r="J975"/>
      <c r="K975"/>
      <c r="L975"/>
      <c r="M975"/>
      <c r="N975"/>
      <c r="O975"/>
      <c r="P975"/>
      <c r="Q975"/>
    </row>
    <row r="976" spans="9:17" x14ac:dyDescent="0.3">
      <c r="I976"/>
      <c r="J976"/>
      <c r="K976"/>
      <c r="L976"/>
      <c r="M976"/>
      <c r="N976"/>
      <c r="O976"/>
      <c r="P976"/>
      <c r="Q976"/>
    </row>
    <row r="977" spans="9:17" x14ac:dyDescent="0.3">
      <c r="I977"/>
      <c r="J977"/>
      <c r="K977"/>
      <c r="L977"/>
      <c r="M977"/>
      <c r="N977"/>
      <c r="O977"/>
      <c r="P977"/>
      <c r="Q977"/>
    </row>
    <row r="978" spans="9:17" x14ac:dyDescent="0.3">
      <c r="I978"/>
      <c r="J978"/>
      <c r="K978"/>
      <c r="L978"/>
      <c r="M978"/>
      <c r="N978"/>
      <c r="O978"/>
      <c r="P978"/>
      <c r="Q978"/>
    </row>
    <row r="979" spans="9:17" x14ac:dyDescent="0.3">
      <c r="I979"/>
      <c r="J979"/>
      <c r="K979"/>
      <c r="L979"/>
      <c r="M979"/>
      <c r="N979"/>
      <c r="O979"/>
      <c r="P979"/>
      <c r="Q979"/>
    </row>
    <row r="980" spans="9:17" x14ac:dyDescent="0.3">
      <c r="I980"/>
      <c r="J980"/>
      <c r="K980"/>
      <c r="L980"/>
      <c r="M980"/>
      <c r="N980"/>
      <c r="O980"/>
      <c r="P980"/>
      <c r="Q980"/>
    </row>
    <row r="981" spans="9:17" x14ac:dyDescent="0.3">
      <c r="I981"/>
      <c r="J981"/>
      <c r="K981"/>
      <c r="L981"/>
      <c r="M981"/>
      <c r="N981"/>
      <c r="O981"/>
      <c r="P981"/>
      <c r="Q981"/>
    </row>
    <row r="982" spans="9:17" x14ac:dyDescent="0.3">
      <c r="I982"/>
      <c r="J982"/>
      <c r="K982"/>
      <c r="L982"/>
      <c r="M982"/>
      <c r="N982"/>
      <c r="O982"/>
      <c r="P982"/>
      <c r="Q982"/>
    </row>
    <row r="983" spans="9:17" x14ac:dyDescent="0.3">
      <c r="I983"/>
      <c r="J983"/>
      <c r="K983"/>
      <c r="L983"/>
      <c r="M983"/>
      <c r="N983"/>
      <c r="O983"/>
      <c r="P983"/>
      <c r="Q983"/>
    </row>
    <row r="984" spans="9:17" x14ac:dyDescent="0.3">
      <c r="I984"/>
      <c r="J984"/>
      <c r="K984"/>
      <c r="L984"/>
      <c r="M984"/>
      <c r="N984"/>
      <c r="O984"/>
      <c r="P984"/>
      <c r="Q984"/>
    </row>
    <row r="985" spans="9:17" x14ac:dyDescent="0.3">
      <c r="I985"/>
      <c r="J985"/>
      <c r="K985"/>
      <c r="L985"/>
      <c r="M985"/>
      <c r="N985"/>
      <c r="O985"/>
      <c r="P985"/>
      <c r="Q985"/>
    </row>
    <row r="986" spans="9:17" x14ac:dyDescent="0.3">
      <c r="I986"/>
      <c r="J986"/>
      <c r="K986"/>
      <c r="L986"/>
      <c r="M986"/>
      <c r="N986"/>
      <c r="O986"/>
      <c r="P986"/>
      <c r="Q986"/>
    </row>
    <row r="987" spans="9:17" x14ac:dyDescent="0.3">
      <c r="I987"/>
      <c r="J987"/>
      <c r="K987"/>
      <c r="L987"/>
      <c r="M987"/>
      <c r="N987"/>
      <c r="O987"/>
      <c r="P987"/>
      <c r="Q987"/>
    </row>
    <row r="988" spans="9:17" x14ac:dyDescent="0.3">
      <c r="I988"/>
      <c r="J988"/>
      <c r="K988"/>
      <c r="L988"/>
      <c r="M988"/>
      <c r="N988"/>
      <c r="O988"/>
      <c r="P988"/>
      <c r="Q988"/>
    </row>
    <row r="989" spans="9:17" x14ac:dyDescent="0.3">
      <c r="I989"/>
      <c r="J989"/>
      <c r="K989"/>
      <c r="L989"/>
      <c r="M989"/>
      <c r="N989"/>
      <c r="O989"/>
      <c r="P989"/>
      <c r="Q989"/>
    </row>
    <row r="990" spans="9:17" x14ac:dyDescent="0.3">
      <c r="I990"/>
      <c r="J990"/>
      <c r="K990"/>
      <c r="L990"/>
      <c r="M990"/>
      <c r="N990"/>
      <c r="O990"/>
      <c r="P990"/>
      <c r="Q990"/>
    </row>
    <row r="991" spans="9:17" x14ac:dyDescent="0.3">
      <c r="I991"/>
      <c r="J991"/>
      <c r="K991"/>
      <c r="L991"/>
      <c r="M991"/>
      <c r="N991"/>
      <c r="O991"/>
      <c r="P991"/>
      <c r="Q991"/>
    </row>
    <row r="992" spans="9:17" x14ac:dyDescent="0.3">
      <c r="I992"/>
      <c r="J992"/>
      <c r="K992"/>
      <c r="L992"/>
      <c r="M992"/>
      <c r="N992"/>
      <c r="O992"/>
      <c r="P992"/>
      <c r="Q992"/>
    </row>
    <row r="993" spans="9:17" x14ac:dyDescent="0.3">
      <c r="I993"/>
      <c r="J993"/>
      <c r="K993"/>
      <c r="L993"/>
      <c r="M993"/>
      <c r="N993"/>
      <c r="O993"/>
      <c r="P993"/>
      <c r="Q993"/>
    </row>
    <row r="994" spans="9:17" x14ac:dyDescent="0.3">
      <c r="I994"/>
      <c r="J994"/>
      <c r="K994"/>
      <c r="L994"/>
      <c r="M994"/>
      <c r="N994"/>
      <c r="O994"/>
      <c r="P994"/>
      <c r="Q994"/>
    </row>
    <row r="995" spans="9:17" x14ac:dyDescent="0.3">
      <c r="I995"/>
      <c r="J995"/>
      <c r="K995"/>
      <c r="L995"/>
      <c r="M995"/>
      <c r="N995"/>
      <c r="O995"/>
      <c r="P995"/>
      <c r="Q995"/>
    </row>
    <row r="996" spans="9:17" x14ac:dyDescent="0.3">
      <c r="I996"/>
      <c r="J996"/>
      <c r="K996"/>
      <c r="L996"/>
      <c r="M996"/>
      <c r="N996"/>
      <c r="O996"/>
      <c r="P996"/>
      <c r="Q996"/>
    </row>
    <row r="997" spans="9:17" x14ac:dyDescent="0.3">
      <c r="I997"/>
      <c r="J997"/>
      <c r="K997"/>
      <c r="L997"/>
      <c r="M997"/>
      <c r="N997"/>
      <c r="O997"/>
      <c r="P997"/>
      <c r="Q997"/>
    </row>
    <row r="998" spans="9:17" x14ac:dyDescent="0.3">
      <c r="I998"/>
      <c r="J998"/>
      <c r="K998"/>
      <c r="L998"/>
      <c r="M998"/>
      <c r="N998"/>
      <c r="O998"/>
      <c r="P998"/>
      <c r="Q998"/>
    </row>
    <row r="999" spans="9:17" x14ac:dyDescent="0.3">
      <c r="I999"/>
      <c r="J999"/>
      <c r="K999"/>
      <c r="L999"/>
      <c r="M999"/>
      <c r="N999"/>
      <c r="O999"/>
      <c r="P999"/>
      <c r="Q999"/>
    </row>
    <row r="1000" spans="9:17" x14ac:dyDescent="0.3">
      <c r="I1000"/>
      <c r="J1000"/>
      <c r="K1000"/>
      <c r="L1000"/>
      <c r="M1000"/>
      <c r="N1000"/>
      <c r="O1000"/>
      <c r="P1000"/>
      <c r="Q1000"/>
    </row>
    <row r="1001" spans="9:17" x14ac:dyDescent="0.3">
      <c r="I1001"/>
      <c r="J1001"/>
      <c r="K1001"/>
      <c r="L1001"/>
      <c r="M1001"/>
      <c r="N1001"/>
      <c r="O1001"/>
      <c r="P1001"/>
      <c r="Q1001"/>
    </row>
    <row r="1002" spans="9:17" x14ac:dyDescent="0.3">
      <c r="I1002"/>
      <c r="J1002"/>
      <c r="K1002"/>
      <c r="L1002"/>
      <c r="M1002"/>
      <c r="N1002"/>
      <c r="O1002"/>
      <c r="P1002"/>
      <c r="Q1002"/>
    </row>
    <row r="1003" spans="9:17" x14ac:dyDescent="0.3">
      <c r="I1003"/>
      <c r="J1003"/>
      <c r="K1003"/>
      <c r="L1003"/>
      <c r="M1003"/>
      <c r="N1003"/>
      <c r="O1003"/>
      <c r="P1003"/>
      <c r="Q1003"/>
    </row>
    <row r="1004" spans="9:17" x14ac:dyDescent="0.3">
      <c r="I1004"/>
      <c r="J1004"/>
      <c r="K1004"/>
      <c r="L1004"/>
      <c r="M1004"/>
      <c r="N1004"/>
      <c r="O1004"/>
      <c r="P1004"/>
      <c r="Q1004"/>
    </row>
    <row r="1005" spans="9:17" x14ac:dyDescent="0.3">
      <c r="I1005"/>
      <c r="J1005"/>
      <c r="K1005"/>
      <c r="L1005"/>
      <c r="M1005"/>
      <c r="N1005"/>
      <c r="O1005"/>
      <c r="P1005"/>
      <c r="Q1005"/>
    </row>
    <row r="1006" spans="9:17" x14ac:dyDescent="0.3">
      <c r="I1006"/>
      <c r="J1006"/>
      <c r="K1006"/>
      <c r="L1006"/>
      <c r="M1006"/>
      <c r="N1006"/>
      <c r="O1006"/>
      <c r="P1006"/>
      <c r="Q1006"/>
    </row>
    <row r="1007" spans="9:17" x14ac:dyDescent="0.3">
      <c r="I1007"/>
      <c r="J1007"/>
      <c r="K1007"/>
      <c r="L1007"/>
      <c r="M1007"/>
      <c r="N1007"/>
      <c r="O1007"/>
      <c r="P1007"/>
      <c r="Q1007"/>
    </row>
    <row r="1008" spans="9:17" x14ac:dyDescent="0.3">
      <c r="I1008"/>
      <c r="J1008"/>
      <c r="K1008"/>
      <c r="L1008"/>
      <c r="M1008"/>
      <c r="N1008"/>
      <c r="O1008"/>
      <c r="P1008"/>
      <c r="Q1008"/>
    </row>
    <row r="1009" spans="9:17" x14ac:dyDescent="0.3">
      <c r="I1009"/>
      <c r="J1009"/>
      <c r="K1009"/>
      <c r="L1009"/>
      <c r="M1009"/>
      <c r="N1009"/>
      <c r="O1009"/>
      <c r="P1009"/>
      <c r="Q1009"/>
    </row>
    <row r="1010" spans="9:17" x14ac:dyDescent="0.3">
      <c r="I1010"/>
      <c r="J1010"/>
      <c r="K1010"/>
      <c r="L1010"/>
      <c r="M1010"/>
      <c r="N1010"/>
      <c r="O1010"/>
      <c r="P1010"/>
      <c r="Q1010"/>
    </row>
    <row r="1011" spans="9:17" x14ac:dyDescent="0.3">
      <c r="I1011"/>
      <c r="J1011"/>
      <c r="K1011"/>
      <c r="L1011"/>
      <c r="M1011"/>
      <c r="N1011"/>
      <c r="O1011"/>
      <c r="P1011"/>
      <c r="Q1011"/>
    </row>
    <row r="1012" spans="9:17" x14ac:dyDescent="0.3">
      <c r="I1012"/>
      <c r="J1012"/>
      <c r="K1012"/>
      <c r="L1012"/>
      <c r="M1012"/>
      <c r="N1012"/>
      <c r="O1012"/>
      <c r="P1012"/>
      <c r="Q1012"/>
    </row>
    <row r="1013" spans="9:17" x14ac:dyDescent="0.3">
      <c r="I1013"/>
      <c r="J1013"/>
      <c r="K1013"/>
      <c r="L1013"/>
      <c r="M1013"/>
      <c r="N1013"/>
      <c r="O1013"/>
      <c r="P1013"/>
      <c r="Q1013"/>
    </row>
    <row r="1014" spans="9:17" x14ac:dyDescent="0.3">
      <c r="I1014"/>
      <c r="J1014"/>
      <c r="K1014"/>
      <c r="L1014"/>
      <c r="M1014"/>
      <c r="N1014"/>
      <c r="O1014"/>
      <c r="P1014"/>
      <c r="Q1014"/>
    </row>
    <row r="1015" spans="9:17" x14ac:dyDescent="0.3">
      <c r="I1015"/>
      <c r="J1015"/>
      <c r="K1015"/>
      <c r="L1015"/>
      <c r="M1015"/>
      <c r="N1015"/>
      <c r="O1015"/>
      <c r="P1015"/>
      <c r="Q1015"/>
    </row>
    <row r="1016" spans="9:17" x14ac:dyDescent="0.3">
      <c r="I1016"/>
      <c r="J1016"/>
      <c r="K1016"/>
      <c r="L1016"/>
      <c r="M1016"/>
      <c r="N1016"/>
      <c r="O1016"/>
      <c r="P1016"/>
      <c r="Q1016"/>
    </row>
    <row r="1017" spans="9:17" x14ac:dyDescent="0.3">
      <c r="I1017"/>
      <c r="J1017"/>
      <c r="K1017"/>
      <c r="L1017"/>
      <c r="M1017"/>
      <c r="N1017"/>
      <c r="O1017"/>
      <c r="P1017"/>
      <c r="Q1017"/>
    </row>
    <row r="1018" spans="9:17" x14ac:dyDescent="0.3">
      <c r="I1018"/>
      <c r="J1018"/>
      <c r="K1018"/>
      <c r="L1018"/>
      <c r="M1018"/>
      <c r="N1018"/>
      <c r="O1018"/>
      <c r="P1018"/>
      <c r="Q1018"/>
    </row>
    <row r="1019" spans="9:17" x14ac:dyDescent="0.3">
      <c r="I1019"/>
      <c r="J1019"/>
      <c r="K1019"/>
      <c r="L1019"/>
      <c r="M1019"/>
      <c r="N1019"/>
      <c r="O1019"/>
      <c r="P1019"/>
      <c r="Q1019"/>
    </row>
    <row r="1020" spans="9:17" x14ac:dyDescent="0.3">
      <c r="I1020"/>
      <c r="J1020"/>
      <c r="K1020"/>
      <c r="L1020"/>
      <c r="M1020"/>
      <c r="N1020"/>
      <c r="O1020"/>
      <c r="P1020"/>
      <c r="Q1020"/>
    </row>
    <row r="1021" spans="9:17" x14ac:dyDescent="0.3">
      <c r="I1021"/>
      <c r="J1021"/>
      <c r="K1021"/>
      <c r="L1021"/>
      <c r="M1021"/>
      <c r="N1021"/>
      <c r="O1021"/>
      <c r="P1021"/>
      <c r="Q1021"/>
    </row>
    <row r="1022" spans="9:17" x14ac:dyDescent="0.3">
      <c r="I1022"/>
      <c r="J1022"/>
      <c r="K1022"/>
      <c r="L1022"/>
      <c r="M1022"/>
      <c r="N1022"/>
      <c r="O1022"/>
      <c r="P1022"/>
      <c r="Q1022"/>
    </row>
    <row r="1023" spans="9:17" x14ac:dyDescent="0.3">
      <c r="I1023"/>
      <c r="J1023"/>
      <c r="K1023"/>
      <c r="L1023"/>
      <c r="M1023"/>
      <c r="N1023"/>
      <c r="O1023"/>
      <c r="P1023"/>
      <c r="Q1023"/>
    </row>
    <row r="1024" spans="9:17" x14ac:dyDescent="0.3">
      <c r="I1024"/>
      <c r="J1024"/>
      <c r="K1024"/>
      <c r="L1024"/>
      <c r="M1024"/>
      <c r="N1024"/>
      <c r="O1024"/>
      <c r="P1024"/>
      <c r="Q1024"/>
    </row>
    <row r="1025" spans="9:17" x14ac:dyDescent="0.3">
      <c r="I1025"/>
      <c r="J1025"/>
      <c r="K1025"/>
      <c r="L1025"/>
      <c r="M1025"/>
      <c r="N1025"/>
      <c r="O1025"/>
      <c r="P1025"/>
      <c r="Q1025"/>
    </row>
    <row r="1026" spans="9:17" x14ac:dyDescent="0.3">
      <c r="I1026"/>
      <c r="J1026"/>
      <c r="K1026"/>
      <c r="L1026"/>
      <c r="M1026"/>
      <c r="N1026"/>
      <c r="O1026"/>
      <c r="P1026"/>
      <c r="Q1026"/>
    </row>
    <row r="1027" spans="9:17" x14ac:dyDescent="0.3">
      <c r="I1027"/>
      <c r="J1027"/>
      <c r="K1027"/>
      <c r="L1027"/>
      <c r="M1027"/>
      <c r="N1027"/>
      <c r="O1027"/>
      <c r="P1027"/>
      <c r="Q1027"/>
    </row>
    <row r="1028" spans="9:17" x14ac:dyDescent="0.3">
      <c r="I1028"/>
      <c r="J1028"/>
      <c r="K1028"/>
      <c r="L1028"/>
      <c r="M1028"/>
      <c r="N1028"/>
      <c r="O1028"/>
      <c r="P1028"/>
      <c r="Q1028"/>
    </row>
    <row r="1029" spans="9:17" x14ac:dyDescent="0.3">
      <c r="I1029"/>
      <c r="J1029"/>
      <c r="K1029"/>
      <c r="L1029"/>
      <c r="M1029"/>
      <c r="N1029"/>
      <c r="O1029"/>
      <c r="P1029"/>
      <c r="Q1029"/>
    </row>
    <row r="1030" spans="9:17" x14ac:dyDescent="0.3">
      <c r="I1030"/>
      <c r="J1030"/>
      <c r="K1030"/>
      <c r="L1030"/>
      <c r="M1030"/>
      <c r="N1030"/>
      <c r="O1030"/>
      <c r="P1030"/>
      <c r="Q1030"/>
    </row>
    <row r="1031" spans="9:17" x14ac:dyDescent="0.3">
      <c r="I1031"/>
      <c r="J1031"/>
      <c r="K1031"/>
      <c r="L1031"/>
      <c r="M1031"/>
      <c r="N1031"/>
      <c r="O1031"/>
      <c r="P1031"/>
      <c r="Q1031"/>
    </row>
    <row r="1032" spans="9:17" x14ac:dyDescent="0.3">
      <c r="I1032"/>
      <c r="J1032"/>
      <c r="K1032"/>
      <c r="L1032"/>
      <c r="M1032"/>
      <c r="N1032"/>
      <c r="O1032"/>
      <c r="P1032"/>
      <c r="Q1032"/>
    </row>
    <row r="1033" spans="9:17" x14ac:dyDescent="0.3">
      <c r="I1033"/>
      <c r="J1033"/>
      <c r="K1033"/>
      <c r="L1033"/>
      <c r="M1033"/>
      <c r="N1033"/>
      <c r="O1033"/>
      <c r="P1033"/>
      <c r="Q1033"/>
    </row>
    <row r="1034" spans="9:17" x14ac:dyDescent="0.3">
      <c r="I1034"/>
      <c r="J1034"/>
      <c r="K1034"/>
      <c r="L1034"/>
      <c r="M1034"/>
      <c r="N1034"/>
      <c r="O1034"/>
      <c r="P1034"/>
      <c r="Q1034"/>
    </row>
    <row r="1035" spans="9:17" x14ac:dyDescent="0.3">
      <c r="I1035"/>
      <c r="J1035"/>
      <c r="K1035"/>
      <c r="L1035"/>
      <c r="M1035"/>
      <c r="N1035"/>
      <c r="O1035"/>
      <c r="P1035"/>
      <c r="Q1035"/>
    </row>
    <row r="1036" spans="9:17" x14ac:dyDescent="0.3">
      <c r="I1036"/>
      <c r="J1036"/>
      <c r="K1036"/>
      <c r="L1036"/>
      <c r="M1036"/>
      <c r="N1036"/>
      <c r="O1036"/>
      <c r="P1036"/>
      <c r="Q1036"/>
    </row>
    <row r="1037" spans="9:17" x14ac:dyDescent="0.3">
      <c r="I1037"/>
      <c r="J1037"/>
      <c r="K1037"/>
      <c r="L1037"/>
      <c r="M1037"/>
      <c r="N1037"/>
      <c r="O1037"/>
      <c r="P1037"/>
      <c r="Q1037"/>
    </row>
    <row r="1038" spans="9:17" x14ac:dyDescent="0.3">
      <c r="I1038"/>
      <c r="J1038"/>
      <c r="K1038"/>
      <c r="L1038"/>
      <c r="M1038"/>
      <c r="N1038"/>
      <c r="O1038"/>
      <c r="P1038"/>
      <c r="Q1038"/>
    </row>
    <row r="1039" spans="9:17" x14ac:dyDescent="0.3">
      <c r="I1039"/>
      <c r="J1039"/>
      <c r="K1039"/>
      <c r="L1039"/>
      <c r="M1039"/>
      <c r="N1039"/>
      <c r="O1039"/>
      <c r="P1039"/>
      <c r="Q1039"/>
    </row>
    <row r="1040" spans="9:17" x14ac:dyDescent="0.3">
      <c r="I1040"/>
      <c r="J1040"/>
      <c r="K1040"/>
      <c r="L1040"/>
      <c r="M1040"/>
      <c r="N1040"/>
      <c r="O1040"/>
      <c r="P1040"/>
      <c r="Q1040"/>
    </row>
    <row r="1041" spans="9:17" x14ac:dyDescent="0.3">
      <c r="I1041"/>
      <c r="J1041"/>
      <c r="K1041"/>
      <c r="L1041"/>
      <c r="M1041"/>
      <c r="N1041"/>
      <c r="O1041"/>
      <c r="P1041"/>
      <c r="Q1041"/>
    </row>
    <row r="1042" spans="9:17" x14ac:dyDescent="0.3">
      <c r="I1042"/>
      <c r="J1042"/>
      <c r="K1042"/>
      <c r="L1042"/>
      <c r="M1042"/>
      <c r="N1042"/>
      <c r="O1042"/>
      <c r="P1042"/>
      <c r="Q1042"/>
    </row>
    <row r="1043" spans="9:17" x14ac:dyDescent="0.3">
      <c r="I1043"/>
      <c r="J1043"/>
      <c r="K1043"/>
      <c r="L1043"/>
      <c r="M1043"/>
      <c r="N1043"/>
      <c r="O1043"/>
      <c r="P1043"/>
      <c r="Q1043"/>
    </row>
    <row r="1044" spans="9:17" x14ac:dyDescent="0.3">
      <c r="I1044"/>
      <c r="J1044"/>
      <c r="K1044"/>
      <c r="L1044"/>
      <c r="M1044"/>
      <c r="N1044"/>
      <c r="O1044"/>
      <c r="P1044"/>
      <c r="Q1044"/>
    </row>
    <row r="1045" spans="9:17" x14ac:dyDescent="0.3">
      <c r="I1045"/>
      <c r="J1045"/>
      <c r="K1045"/>
      <c r="L1045"/>
      <c r="M1045"/>
      <c r="N1045"/>
      <c r="O1045"/>
      <c r="P1045"/>
      <c r="Q1045"/>
    </row>
    <row r="1046" spans="9:17" x14ac:dyDescent="0.3">
      <c r="I1046"/>
      <c r="J1046"/>
      <c r="K1046"/>
      <c r="L1046"/>
      <c r="M1046"/>
      <c r="N1046"/>
      <c r="O1046"/>
      <c r="P1046"/>
      <c r="Q1046"/>
    </row>
    <row r="1047" spans="9:17" x14ac:dyDescent="0.3">
      <c r="I1047"/>
      <c r="J1047"/>
      <c r="K1047"/>
      <c r="L1047"/>
      <c r="M1047"/>
      <c r="N1047"/>
      <c r="O1047"/>
      <c r="P1047"/>
      <c r="Q1047"/>
    </row>
    <row r="1048" spans="9:17" x14ac:dyDescent="0.3">
      <c r="I1048"/>
      <c r="J1048"/>
      <c r="K1048"/>
      <c r="L1048"/>
      <c r="M1048"/>
      <c r="N1048"/>
      <c r="O1048"/>
      <c r="P1048"/>
      <c r="Q1048"/>
    </row>
    <row r="1049" spans="9:17" x14ac:dyDescent="0.3">
      <c r="I1049"/>
      <c r="J1049"/>
      <c r="K1049"/>
      <c r="L1049"/>
      <c r="M1049"/>
      <c r="N1049"/>
      <c r="O1049"/>
      <c r="P1049"/>
      <c r="Q1049"/>
    </row>
    <row r="1050" spans="9:17" x14ac:dyDescent="0.3">
      <c r="I1050"/>
      <c r="J1050"/>
      <c r="K1050"/>
      <c r="L1050"/>
      <c r="M1050"/>
      <c r="N1050"/>
      <c r="O1050"/>
      <c r="P1050"/>
      <c r="Q1050"/>
    </row>
    <row r="1051" spans="9:17" x14ac:dyDescent="0.3">
      <c r="I1051"/>
      <c r="J1051"/>
      <c r="K1051"/>
      <c r="L1051"/>
      <c r="M1051"/>
      <c r="N1051"/>
      <c r="O1051"/>
      <c r="P1051"/>
      <c r="Q1051"/>
    </row>
    <row r="1052" spans="9:17" x14ac:dyDescent="0.3">
      <c r="I1052"/>
      <c r="J1052"/>
      <c r="K1052"/>
      <c r="L1052"/>
      <c r="M1052"/>
      <c r="N1052"/>
      <c r="O1052"/>
      <c r="P1052"/>
      <c r="Q1052"/>
    </row>
    <row r="1053" spans="9:17" x14ac:dyDescent="0.3">
      <c r="I1053"/>
      <c r="J1053"/>
      <c r="K1053"/>
      <c r="L1053"/>
      <c r="M1053"/>
      <c r="N1053"/>
      <c r="O1053"/>
      <c r="P1053"/>
      <c r="Q1053"/>
    </row>
    <row r="1054" spans="9:17" x14ac:dyDescent="0.3">
      <c r="I1054"/>
      <c r="J1054"/>
      <c r="K1054"/>
      <c r="L1054"/>
      <c r="M1054"/>
      <c r="N1054"/>
      <c r="O1054"/>
      <c r="P1054"/>
      <c r="Q1054"/>
    </row>
    <row r="1055" spans="9:17" x14ac:dyDescent="0.3">
      <c r="I1055"/>
      <c r="J1055"/>
      <c r="K1055"/>
      <c r="L1055"/>
      <c r="M1055"/>
      <c r="N1055"/>
      <c r="O1055"/>
      <c r="P1055"/>
      <c r="Q1055"/>
    </row>
    <row r="1056" spans="9:17" x14ac:dyDescent="0.3">
      <c r="I1056"/>
      <c r="J1056"/>
      <c r="K1056"/>
      <c r="L1056"/>
      <c r="M1056"/>
      <c r="N1056"/>
      <c r="O1056"/>
      <c r="P1056"/>
      <c r="Q1056"/>
    </row>
    <row r="1057" spans="9:17" x14ac:dyDescent="0.3">
      <c r="I1057"/>
      <c r="J1057"/>
      <c r="K1057"/>
      <c r="L1057"/>
      <c r="M1057"/>
      <c r="N1057"/>
      <c r="O1057"/>
      <c r="P1057"/>
      <c r="Q1057"/>
    </row>
    <row r="1058" spans="9:17" x14ac:dyDescent="0.3">
      <c r="I1058"/>
      <c r="J1058"/>
      <c r="K1058"/>
      <c r="L1058"/>
      <c r="M1058"/>
      <c r="N1058"/>
      <c r="O1058"/>
      <c r="P1058"/>
      <c r="Q1058"/>
    </row>
    <row r="1059" spans="9:17" x14ac:dyDescent="0.3">
      <c r="I1059"/>
      <c r="J1059"/>
      <c r="K1059"/>
      <c r="L1059"/>
      <c r="M1059"/>
      <c r="N1059"/>
      <c r="O1059"/>
      <c r="P1059"/>
      <c r="Q1059"/>
    </row>
    <row r="1060" spans="9:17" x14ac:dyDescent="0.3">
      <c r="I1060"/>
      <c r="J1060"/>
      <c r="K1060"/>
      <c r="L1060"/>
      <c r="M1060"/>
      <c r="N1060"/>
      <c r="O1060"/>
      <c r="P1060"/>
      <c r="Q1060"/>
    </row>
    <row r="1061" spans="9:17" x14ac:dyDescent="0.3">
      <c r="I1061"/>
      <c r="J1061"/>
      <c r="K1061"/>
      <c r="L1061"/>
      <c r="M1061"/>
      <c r="N1061"/>
      <c r="O1061"/>
      <c r="P1061"/>
      <c r="Q1061"/>
    </row>
    <row r="1062" spans="9:17" x14ac:dyDescent="0.3">
      <c r="I1062"/>
      <c r="J1062"/>
      <c r="K1062"/>
      <c r="L1062"/>
      <c r="M1062"/>
      <c r="N1062"/>
      <c r="O1062"/>
      <c r="P1062"/>
      <c r="Q1062"/>
    </row>
    <row r="1063" spans="9:17" x14ac:dyDescent="0.3">
      <c r="I1063"/>
      <c r="J1063"/>
      <c r="K1063"/>
      <c r="L1063"/>
      <c r="M1063"/>
      <c r="N1063"/>
      <c r="O1063"/>
      <c r="P1063"/>
      <c r="Q1063"/>
    </row>
    <row r="1064" spans="9:17" x14ac:dyDescent="0.3">
      <c r="I1064"/>
      <c r="J1064"/>
      <c r="K1064"/>
      <c r="L1064"/>
      <c r="M1064"/>
      <c r="N1064"/>
      <c r="O1064"/>
      <c r="P1064"/>
      <c r="Q1064"/>
    </row>
    <row r="1065" spans="9:17" x14ac:dyDescent="0.3">
      <c r="I1065"/>
      <c r="J1065"/>
      <c r="K1065"/>
      <c r="L1065"/>
      <c r="M1065"/>
      <c r="N1065"/>
      <c r="O1065"/>
      <c r="P1065"/>
      <c r="Q1065"/>
    </row>
    <row r="1066" spans="9:17" x14ac:dyDescent="0.3">
      <c r="I1066"/>
      <c r="J1066"/>
      <c r="K1066"/>
      <c r="L1066"/>
      <c r="M1066"/>
      <c r="N1066"/>
      <c r="O1066"/>
      <c r="P1066"/>
      <c r="Q1066"/>
    </row>
    <row r="1067" spans="9:17" x14ac:dyDescent="0.3">
      <c r="I1067"/>
      <c r="J1067"/>
      <c r="K1067"/>
      <c r="L1067"/>
      <c r="M1067"/>
      <c r="N1067"/>
      <c r="O1067"/>
      <c r="P1067"/>
      <c r="Q1067"/>
    </row>
    <row r="1068" spans="9:17" x14ac:dyDescent="0.3">
      <c r="I1068"/>
      <c r="J1068"/>
      <c r="K1068"/>
      <c r="L1068"/>
      <c r="M1068"/>
      <c r="N1068"/>
      <c r="O1068"/>
      <c r="P1068"/>
      <c r="Q1068"/>
    </row>
    <row r="1069" spans="9:17" x14ac:dyDescent="0.3">
      <c r="I1069"/>
      <c r="J1069"/>
      <c r="K1069"/>
      <c r="L1069"/>
      <c r="M1069"/>
      <c r="N1069"/>
      <c r="O1069"/>
      <c r="P1069"/>
      <c r="Q1069"/>
    </row>
    <row r="1070" spans="9:17" x14ac:dyDescent="0.3">
      <c r="I1070"/>
      <c r="J1070"/>
      <c r="K1070"/>
      <c r="L1070"/>
      <c r="M1070"/>
      <c r="N1070"/>
      <c r="O1070"/>
      <c r="P1070"/>
      <c r="Q1070"/>
    </row>
    <row r="1071" spans="9:17" x14ac:dyDescent="0.3">
      <c r="I1071"/>
      <c r="J1071"/>
      <c r="K1071"/>
      <c r="L1071"/>
      <c r="M1071"/>
      <c r="N1071"/>
      <c r="O1071"/>
      <c r="P1071"/>
      <c r="Q1071"/>
    </row>
    <row r="1072" spans="9:17" x14ac:dyDescent="0.3">
      <c r="I1072"/>
      <c r="J1072"/>
      <c r="K1072"/>
      <c r="L1072"/>
      <c r="M1072"/>
      <c r="N1072"/>
      <c r="O1072"/>
      <c r="P1072"/>
      <c r="Q1072"/>
    </row>
    <row r="1073" spans="9:17" x14ac:dyDescent="0.3">
      <c r="I1073"/>
      <c r="J1073"/>
      <c r="K1073"/>
      <c r="L1073"/>
      <c r="M1073"/>
      <c r="N1073"/>
      <c r="O1073"/>
      <c r="P1073"/>
      <c r="Q1073"/>
    </row>
    <row r="1074" spans="9:17" x14ac:dyDescent="0.3">
      <c r="I1074"/>
      <c r="J1074"/>
      <c r="K1074"/>
      <c r="L1074"/>
      <c r="M1074"/>
      <c r="N1074"/>
      <c r="O1074"/>
      <c r="P1074"/>
      <c r="Q1074"/>
    </row>
    <row r="1075" spans="9:17" x14ac:dyDescent="0.3">
      <c r="I1075"/>
      <c r="J1075"/>
      <c r="K1075"/>
      <c r="L1075"/>
      <c r="M1075"/>
      <c r="N1075"/>
      <c r="O1075"/>
      <c r="P1075"/>
      <c r="Q1075"/>
    </row>
    <row r="1076" spans="9:17" x14ac:dyDescent="0.3">
      <c r="I1076"/>
      <c r="J1076"/>
      <c r="K1076"/>
      <c r="L1076"/>
      <c r="M1076"/>
      <c r="N1076"/>
      <c r="O1076"/>
      <c r="P1076"/>
      <c r="Q1076"/>
    </row>
    <row r="1077" spans="9:17" x14ac:dyDescent="0.3">
      <c r="I1077"/>
      <c r="J1077"/>
      <c r="K1077"/>
      <c r="L1077"/>
      <c r="M1077"/>
      <c r="N1077"/>
      <c r="O1077"/>
      <c r="P1077"/>
      <c r="Q1077"/>
    </row>
    <row r="1078" spans="9:17" x14ac:dyDescent="0.3">
      <c r="I1078"/>
      <c r="J1078"/>
      <c r="K1078"/>
      <c r="L1078"/>
      <c r="M1078"/>
      <c r="N1078"/>
      <c r="O1078"/>
      <c r="P1078"/>
      <c r="Q1078"/>
    </row>
    <row r="1079" spans="9:17" x14ac:dyDescent="0.3">
      <c r="I1079"/>
      <c r="J1079"/>
      <c r="K1079"/>
      <c r="L1079"/>
      <c r="M1079"/>
      <c r="N1079"/>
      <c r="O1079"/>
      <c r="P1079"/>
      <c r="Q1079"/>
    </row>
    <row r="1080" spans="9:17" x14ac:dyDescent="0.3">
      <c r="I1080"/>
      <c r="J1080"/>
      <c r="K1080"/>
      <c r="L1080"/>
      <c r="M1080"/>
      <c r="N1080"/>
      <c r="O1080"/>
      <c r="P1080"/>
      <c r="Q1080"/>
    </row>
    <row r="1081" spans="9:17" x14ac:dyDescent="0.3">
      <c r="I1081"/>
      <c r="J1081"/>
      <c r="K1081"/>
      <c r="L1081"/>
      <c r="M1081"/>
      <c r="N1081"/>
      <c r="O1081"/>
      <c r="P1081"/>
      <c r="Q1081"/>
    </row>
    <row r="1082" spans="9:17" x14ac:dyDescent="0.3">
      <c r="I1082"/>
      <c r="J1082"/>
      <c r="K1082"/>
      <c r="L1082"/>
      <c r="M1082"/>
      <c r="N1082"/>
      <c r="O1082"/>
      <c r="P1082"/>
      <c r="Q1082"/>
    </row>
    <row r="1083" spans="9:17" x14ac:dyDescent="0.3">
      <c r="I1083"/>
      <c r="J1083"/>
      <c r="K1083"/>
      <c r="L1083"/>
      <c r="M1083"/>
      <c r="N1083"/>
      <c r="O1083"/>
      <c r="P1083"/>
      <c r="Q1083"/>
    </row>
    <row r="1084" spans="9:17" x14ac:dyDescent="0.3">
      <c r="I1084"/>
      <c r="J1084"/>
      <c r="K1084"/>
      <c r="L1084"/>
      <c r="M1084"/>
      <c r="N1084"/>
      <c r="O1084"/>
      <c r="P1084"/>
      <c r="Q1084"/>
    </row>
    <row r="1085" spans="9:17" x14ac:dyDescent="0.3">
      <c r="I1085"/>
      <c r="J1085"/>
      <c r="K1085"/>
      <c r="L1085"/>
      <c r="M1085"/>
      <c r="N1085"/>
      <c r="O1085"/>
      <c r="P1085"/>
      <c r="Q1085"/>
    </row>
    <row r="1086" spans="9:17" x14ac:dyDescent="0.3">
      <c r="I1086"/>
      <c r="J1086"/>
      <c r="K1086"/>
      <c r="L1086"/>
      <c r="M1086"/>
      <c r="N1086"/>
      <c r="O1086"/>
      <c r="P1086"/>
      <c r="Q1086"/>
    </row>
    <row r="1087" spans="9:17" x14ac:dyDescent="0.3">
      <c r="I1087"/>
      <c r="J1087"/>
      <c r="K1087"/>
      <c r="L1087"/>
      <c r="M1087"/>
      <c r="N1087"/>
      <c r="O1087"/>
      <c r="P1087"/>
      <c r="Q1087"/>
    </row>
    <row r="1088" spans="9:17" x14ac:dyDescent="0.3">
      <c r="I1088"/>
      <c r="J1088"/>
      <c r="K1088"/>
      <c r="L1088"/>
      <c r="M1088"/>
      <c r="N1088"/>
      <c r="O1088"/>
      <c r="P1088"/>
      <c r="Q1088"/>
    </row>
    <row r="1089" spans="9:17" x14ac:dyDescent="0.3">
      <c r="I1089"/>
      <c r="J1089"/>
      <c r="K1089"/>
      <c r="L1089"/>
      <c r="M1089"/>
      <c r="N1089"/>
      <c r="O1089"/>
      <c r="P1089"/>
      <c r="Q1089"/>
    </row>
    <row r="1090" spans="9:17" x14ac:dyDescent="0.3">
      <c r="I1090"/>
      <c r="J1090"/>
      <c r="K1090"/>
      <c r="L1090"/>
      <c r="M1090"/>
      <c r="N1090"/>
      <c r="O1090"/>
      <c r="P1090"/>
      <c r="Q1090"/>
    </row>
    <row r="1091" spans="9:17" x14ac:dyDescent="0.3">
      <c r="I1091"/>
      <c r="J1091"/>
      <c r="K1091"/>
      <c r="L1091"/>
      <c r="M1091"/>
      <c r="N1091"/>
      <c r="O1091"/>
      <c r="P1091"/>
      <c r="Q1091"/>
    </row>
    <row r="1092" spans="9:17" x14ac:dyDescent="0.3">
      <c r="I1092"/>
      <c r="J1092"/>
      <c r="K1092"/>
      <c r="L1092"/>
      <c r="M1092"/>
      <c r="N1092"/>
      <c r="O1092"/>
      <c r="P1092"/>
      <c r="Q1092"/>
    </row>
    <row r="1093" spans="9:17" x14ac:dyDescent="0.3">
      <c r="I1093"/>
      <c r="J1093"/>
      <c r="K1093"/>
      <c r="L1093"/>
      <c r="M1093"/>
      <c r="N1093"/>
      <c r="O1093"/>
      <c r="P1093"/>
      <c r="Q1093"/>
    </row>
    <row r="1094" spans="9:17" x14ac:dyDescent="0.3">
      <c r="I1094"/>
      <c r="J1094"/>
      <c r="K1094"/>
      <c r="L1094"/>
      <c r="M1094"/>
      <c r="N1094"/>
      <c r="O1094"/>
      <c r="P1094"/>
      <c r="Q1094"/>
    </row>
    <row r="1095" spans="9:17" x14ac:dyDescent="0.3">
      <c r="I1095"/>
      <c r="J1095"/>
      <c r="K1095"/>
      <c r="L1095"/>
      <c r="M1095"/>
      <c r="N1095"/>
      <c r="O1095"/>
      <c r="P1095"/>
      <c r="Q1095"/>
    </row>
    <row r="1096" spans="9:17" x14ac:dyDescent="0.3">
      <c r="I1096"/>
      <c r="J1096"/>
      <c r="K1096"/>
      <c r="L1096"/>
      <c r="M1096"/>
      <c r="N1096"/>
      <c r="O1096"/>
      <c r="P1096"/>
      <c r="Q1096"/>
    </row>
    <row r="1097" spans="9:17" x14ac:dyDescent="0.3">
      <c r="I1097"/>
      <c r="J1097"/>
      <c r="K1097"/>
      <c r="L1097"/>
      <c r="M1097"/>
      <c r="N1097"/>
      <c r="O1097"/>
      <c r="P1097"/>
      <c r="Q1097"/>
    </row>
    <row r="1098" spans="9:17" x14ac:dyDescent="0.3">
      <c r="I1098"/>
      <c r="J1098"/>
      <c r="K1098"/>
      <c r="L1098"/>
      <c r="M1098"/>
      <c r="N1098"/>
      <c r="O1098"/>
      <c r="P1098"/>
      <c r="Q1098"/>
    </row>
    <row r="1099" spans="9:17" x14ac:dyDescent="0.3">
      <c r="I1099"/>
      <c r="J1099"/>
      <c r="K1099"/>
      <c r="L1099"/>
      <c r="M1099"/>
      <c r="N1099"/>
      <c r="O1099"/>
      <c r="P1099"/>
      <c r="Q1099"/>
    </row>
    <row r="1100" spans="9:17" x14ac:dyDescent="0.3">
      <c r="I1100"/>
      <c r="J1100"/>
      <c r="K1100"/>
      <c r="L1100"/>
      <c r="M1100"/>
      <c r="N1100"/>
      <c r="O1100"/>
      <c r="P1100"/>
      <c r="Q1100"/>
    </row>
    <row r="1101" spans="9:17" x14ac:dyDescent="0.3">
      <c r="I1101"/>
      <c r="J1101"/>
      <c r="K1101"/>
      <c r="L1101"/>
      <c r="M1101"/>
      <c r="N1101"/>
      <c r="O1101"/>
      <c r="P1101"/>
      <c r="Q1101"/>
    </row>
    <row r="1102" spans="9:17" x14ac:dyDescent="0.3">
      <c r="I1102"/>
      <c r="J1102"/>
      <c r="K1102"/>
      <c r="L1102"/>
      <c r="M1102"/>
      <c r="N1102"/>
      <c r="O1102"/>
      <c r="P1102"/>
      <c r="Q1102"/>
    </row>
    <row r="1103" spans="9:17" x14ac:dyDescent="0.3">
      <c r="I1103"/>
      <c r="J1103"/>
      <c r="K1103"/>
      <c r="L1103"/>
      <c r="M1103"/>
      <c r="N1103"/>
      <c r="O1103"/>
      <c r="P1103"/>
      <c r="Q1103"/>
    </row>
    <row r="1104" spans="9:17" x14ac:dyDescent="0.3">
      <c r="I1104"/>
      <c r="J1104"/>
      <c r="K1104"/>
      <c r="L1104"/>
      <c r="M1104"/>
      <c r="N1104"/>
      <c r="O1104"/>
      <c r="P1104"/>
      <c r="Q1104"/>
    </row>
    <row r="1105" spans="9:17" x14ac:dyDescent="0.3">
      <c r="I1105"/>
      <c r="J1105"/>
      <c r="K1105"/>
      <c r="L1105"/>
      <c r="M1105"/>
      <c r="N1105"/>
      <c r="O1105"/>
      <c r="P1105"/>
      <c r="Q1105"/>
    </row>
    <row r="1106" spans="9:17" x14ac:dyDescent="0.3">
      <c r="I1106"/>
      <c r="J1106"/>
      <c r="K1106"/>
      <c r="L1106"/>
      <c r="M1106"/>
      <c r="N1106"/>
      <c r="O1106"/>
      <c r="P1106"/>
      <c r="Q1106"/>
    </row>
    <row r="1107" spans="9:17" x14ac:dyDescent="0.3">
      <c r="I1107"/>
      <c r="J1107"/>
      <c r="K1107"/>
      <c r="L1107"/>
      <c r="M1107"/>
      <c r="N1107"/>
      <c r="O1107"/>
      <c r="P1107"/>
      <c r="Q1107"/>
    </row>
    <row r="1108" spans="9:17" x14ac:dyDescent="0.3">
      <c r="I1108"/>
      <c r="J1108"/>
      <c r="K1108"/>
      <c r="L1108"/>
      <c r="M1108"/>
      <c r="N1108"/>
      <c r="O1108"/>
      <c r="P1108"/>
      <c r="Q1108"/>
    </row>
    <row r="1109" spans="9:17" x14ac:dyDescent="0.3">
      <c r="I1109"/>
      <c r="J1109"/>
      <c r="K1109"/>
      <c r="L1109"/>
      <c r="M1109"/>
      <c r="N1109"/>
      <c r="O1109"/>
      <c r="P1109"/>
      <c r="Q1109"/>
    </row>
    <row r="1110" spans="9:17" x14ac:dyDescent="0.3">
      <c r="I1110"/>
      <c r="J1110"/>
      <c r="K1110"/>
      <c r="L1110"/>
      <c r="M1110"/>
      <c r="N1110"/>
      <c r="O1110"/>
      <c r="P1110"/>
      <c r="Q1110"/>
    </row>
    <row r="1111" spans="9:17" x14ac:dyDescent="0.3">
      <c r="I1111"/>
      <c r="J1111"/>
      <c r="K1111"/>
      <c r="L1111"/>
      <c r="M1111"/>
      <c r="N1111"/>
      <c r="O1111"/>
      <c r="P1111"/>
      <c r="Q1111"/>
    </row>
    <row r="1112" spans="9:17" x14ac:dyDescent="0.3">
      <c r="I1112"/>
      <c r="J1112"/>
      <c r="K1112"/>
      <c r="L1112"/>
      <c r="M1112"/>
      <c r="N1112"/>
      <c r="O1112"/>
      <c r="P1112"/>
      <c r="Q1112"/>
    </row>
    <row r="1113" spans="9:17" x14ac:dyDescent="0.3">
      <c r="I1113"/>
      <c r="J1113"/>
      <c r="K1113"/>
      <c r="L1113"/>
      <c r="M1113"/>
      <c r="N1113"/>
      <c r="O1113"/>
      <c r="P1113"/>
      <c r="Q1113"/>
    </row>
    <row r="1114" spans="9:17" x14ac:dyDescent="0.3">
      <c r="I1114"/>
      <c r="J1114"/>
      <c r="K1114"/>
      <c r="L1114"/>
      <c r="M1114"/>
      <c r="N1114"/>
      <c r="O1114"/>
      <c r="P1114"/>
      <c r="Q1114"/>
    </row>
    <row r="1115" spans="9:17" x14ac:dyDescent="0.3">
      <c r="I1115"/>
      <c r="J1115"/>
      <c r="K1115"/>
      <c r="L1115"/>
      <c r="M1115"/>
      <c r="N1115"/>
      <c r="O1115"/>
      <c r="P1115"/>
      <c r="Q1115"/>
    </row>
    <row r="1116" spans="9:17" x14ac:dyDescent="0.3">
      <c r="I1116"/>
      <c r="J1116"/>
      <c r="K1116"/>
      <c r="L1116"/>
      <c r="M1116"/>
      <c r="N1116"/>
      <c r="O1116"/>
      <c r="P1116"/>
      <c r="Q1116"/>
    </row>
    <row r="1117" spans="9:17" x14ac:dyDescent="0.3">
      <c r="I1117"/>
      <c r="J1117"/>
      <c r="K1117"/>
      <c r="L1117"/>
      <c r="M1117"/>
      <c r="N1117"/>
      <c r="O1117"/>
      <c r="P1117"/>
      <c r="Q1117"/>
    </row>
    <row r="1118" spans="9:17" x14ac:dyDescent="0.3">
      <c r="I1118"/>
      <c r="J1118"/>
      <c r="K1118"/>
      <c r="L1118"/>
      <c r="M1118"/>
      <c r="N1118"/>
      <c r="O1118"/>
      <c r="P1118"/>
      <c r="Q1118"/>
    </row>
    <row r="1119" spans="9:17" x14ac:dyDescent="0.3">
      <c r="I1119"/>
      <c r="J1119"/>
      <c r="K1119"/>
      <c r="L1119"/>
      <c r="M1119"/>
      <c r="N1119"/>
      <c r="O1119"/>
      <c r="P1119"/>
      <c r="Q1119"/>
    </row>
    <row r="1120" spans="9:17" x14ac:dyDescent="0.3">
      <c r="I1120"/>
      <c r="J1120"/>
      <c r="K1120"/>
      <c r="L1120"/>
      <c r="M1120"/>
      <c r="N1120"/>
      <c r="O1120"/>
      <c r="P1120"/>
      <c r="Q1120"/>
    </row>
    <row r="1121" spans="9:17" x14ac:dyDescent="0.3">
      <c r="I1121"/>
      <c r="J1121"/>
      <c r="K1121"/>
      <c r="L1121"/>
      <c r="M1121"/>
      <c r="N1121"/>
      <c r="O1121"/>
      <c r="P1121"/>
      <c r="Q1121"/>
    </row>
    <row r="1122" spans="9:17" x14ac:dyDescent="0.3">
      <c r="I1122"/>
      <c r="J1122"/>
      <c r="K1122"/>
      <c r="L1122"/>
      <c r="M1122"/>
      <c r="N1122"/>
      <c r="O1122"/>
      <c r="P1122"/>
      <c r="Q1122"/>
    </row>
    <row r="1123" spans="9:17" x14ac:dyDescent="0.3">
      <c r="I1123"/>
      <c r="J1123"/>
      <c r="K1123"/>
      <c r="L1123"/>
      <c r="M1123"/>
      <c r="N1123"/>
      <c r="O1123"/>
      <c r="P1123"/>
      <c r="Q1123"/>
    </row>
    <row r="1124" spans="9:17" x14ac:dyDescent="0.3">
      <c r="I1124"/>
      <c r="J1124"/>
      <c r="K1124"/>
      <c r="L1124"/>
      <c r="M1124"/>
      <c r="N1124"/>
      <c r="O1124"/>
      <c r="P1124"/>
      <c r="Q1124"/>
    </row>
    <row r="1125" spans="9:17" x14ac:dyDescent="0.3">
      <c r="I1125"/>
      <c r="J1125"/>
      <c r="K1125"/>
      <c r="L1125"/>
      <c r="M1125"/>
      <c r="N1125"/>
      <c r="O1125"/>
      <c r="P1125"/>
      <c r="Q1125"/>
    </row>
    <row r="1126" spans="9:17" x14ac:dyDescent="0.3">
      <c r="I1126"/>
      <c r="J1126"/>
      <c r="K1126"/>
      <c r="L1126"/>
      <c r="M1126"/>
      <c r="N1126"/>
      <c r="O1126"/>
      <c r="P1126"/>
      <c r="Q1126"/>
    </row>
    <row r="1127" spans="9:17" x14ac:dyDescent="0.3">
      <c r="I1127"/>
      <c r="J1127"/>
      <c r="K1127"/>
      <c r="L1127"/>
      <c r="M1127"/>
      <c r="N1127"/>
      <c r="O1127"/>
      <c r="P1127"/>
      <c r="Q1127"/>
    </row>
    <row r="1128" spans="9:17" x14ac:dyDescent="0.3">
      <c r="I1128"/>
      <c r="J1128"/>
      <c r="K1128"/>
      <c r="L1128"/>
      <c r="M1128"/>
      <c r="N1128"/>
      <c r="O1128"/>
      <c r="P1128"/>
      <c r="Q1128"/>
    </row>
    <row r="1129" spans="9:17" x14ac:dyDescent="0.3">
      <c r="I1129"/>
      <c r="J1129"/>
      <c r="K1129"/>
      <c r="L1129"/>
      <c r="M1129"/>
      <c r="N1129"/>
      <c r="O1129"/>
      <c r="P1129"/>
      <c r="Q1129"/>
    </row>
    <row r="1130" spans="9:17" x14ac:dyDescent="0.3">
      <c r="I1130"/>
      <c r="J1130"/>
      <c r="K1130"/>
      <c r="L1130"/>
      <c r="M1130"/>
      <c r="N1130"/>
      <c r="O1130"/>
      <c r="P1130"/>
      <c r="Q1130"/>
    </row>
    <row r="1131" spans="9:17" x14ac:dyDescent="0.3">
      <c r="I1131"/>
      <c r="J1131"/>
      <c r="K1131"/>
      <c r="L1131"/>
      <c r="M1131"/>
      <c r="N1131"/>
      <c r="O1131"/>
      <c r="P1131"/>
      <c r="Q1131"/>
    </row>
    <row r="1132" spans="9:17" x14ac:dyDescent="0.3">
      <c r="I1132"/>
      <c r="J1132"/>
      <c r="K1132"/>
      <c r="L1132"/>
      <c r="M1132"/>
      <c r="N1132"/>
      <c r="O1132"/>
      <c r="P1132"/>
      <c r="Q1132"/>
    </row>
    <row r="1133" spans="9:17" x14ac:dyDescent="0.3">
      <c r="I1133"/>
      <c r="J1133"/>
      <c r="K1133"/>
      <c r="L1133"/>
      <c r="M1133"/>
      <c r="N1133"/>
      <c r="O1133"/>
      <c r="P1133"/>
      <c r="Q1133"/>
    </row>
    <row r="1134" spans="9:17" x14ac:dyDescent="0.3">
      <c r="I1134"/>
      <c r="J1134"/>
      <c r="K1134"/>
      <c r="L1134"/>
      <c r="M1134"/>
      <c r="N1134"/>
      <c r="O1134"/>
      <c r="P1134"/>
      <c r="Q1134"/>
    </row>
    <row r="1135" spans="9:17" x14ac:dyDescent="0.3">
      <c r="I1135"/>
      <c r="J1135"/>
      <c r="K1135"/>
      <c r="L1135"/>
      <c r="M1135"/>
      <c r="N1135"/>
      <c r="O1135"/>
      <c r="P1135"/>
      <c r="Q1135"/>
    </row>
    <row r="1136" spans="9:17" x14ac:dyDescent="0.3">
      <c r="I1136"/>
      <c r="J1136"/>
      <c r="K1136"/>
      <c r="L1136"/>
      <c r="M1136"/>
      <c r="N1136"/>
      <c r="O1136"/>
      <c r="P1136"/>
      <c r="Q1136"/>
    </row>
    <row r="1137" spans="9:17" x14ac:dyDescent="0.3">
      <c r="I1137"/>
      <c r="J1137"/>
      <c r="K1137"/>
      <c r="L1137"/>
      <c r="M1137"/>
      <c r="N1137"/>
      <c r="O1137"/>
      <c r="P1137"/>
      <c r="Q1137"/>
    </row>
    <row r="1138" spans="9:17" x14ac:dyDescent="0.3">
      <c r="I1138"/>
      <c r="J1138"/>
      <c r="K1138"/>
      <c r="L1138"/>
      <c r="M1138"/>
      <c r="N1138"/>
      <c r="O1138"/>
      <c r="P1138"/>
      <c r="Q1138"/>
    </row>
    <row r="1139" spans="9:17" x14ac:dyDescent="0.3">
      <c r="I1139"/>
      <c r="J1139"/>
      <c r="K1139"/>
      <c r="L1139"/>
      <c r="M1139"/>
      <c r="N1139"/>
      <c r="O1139"/>
      <c r="P1139"/>
      <c r="Q1139"/>
    </row>
    <row r="1140" spans="9:17" x14ac:dyDescent="0.3">
      <c r="I1140"/>
      <c r="J1140"/>
      <c r="K1140"/>
      <c r="L1140"/>
      <c r="M1140"/>
      <c r="N1140"/>
      <c r="O1140"/>
      <c r="P1140"/>
      <c r="Q1140"/>
    </row>
    <row r="1141" spans="9:17" x14ac:dyDescent="0.3">
      <c r="I1141"/>
      <c r="J1141"/>
      <c r="K1141"/>
      <c r="L1141"/>
      <c r="M1141"/>
      <c r="N1141"/>
      <c r="O1141"/>
      <c r="P1141"/>
      <c r="Q1141"/>
    </row>
    <row r="1142" spans="9:17" x14ac:dyDescent="0.3">
      <c r="I1142"/>
      <c r="J1142"/>
      <c r="K1142"/>
      <c r="L1142"/>
      <c r="M1142"/>
      <c r="N1142"/>
      <c r="O1142"/>
      <c r="P1142"/>
      <c r="Q1142"/>
    </row>
    <row r="1143" spans="9:17" x14ac:dyDescent="0.3">
      <c r="I1143"/>
      <c r="J1143"/>
      <c r="K1143"/>
      <c r="L1143"/>
      <c r="M1143"/>
      <c r="N1143"/>
      <c r="O1143"/>
      <c r="P1143"/>
      <c r="Q1143"/>
    </row>
    <row r="1144" spans="9:17" x14ac:dyDescent="0.3">
      <c r="I1144"/>
      <c r="J1144"/>
      <c r="K1144"/>
      <c r="L1144"/>
      <c r="M1144"/>
      <c r="N1144"/>
      <c r="O1144"/>
      <c r="P1144"/>
      <c r="Q1144"/>
    </row>
    <row r="1145" spans="9:17" x14ac:dyDescent="0.3">
      <c r="I1145"/>
      <c r="J1145"/>
      <c r="K1145"/>
      <c r="L1145"/>
      <c r="M1145"/>
      <c r="N1145"/>
      <c r="O1145"/>
      <c r="P1145"/>
      <c r="Q1145"/>
    </row>
    <row r="1146" spans="9:17" x14ac:dyDescent="0.3">
      <c r="I1146"/>
      <c r="J1146"/>
      <c r="K1146"/>
      <c r="L1146"/>
      <c r="M1146"/>
      <c r="N1146"/>
      <c r="O1146"/>
      <c r="P1146"/>
      <c r="Q1146"/>
    </row>
    <row r="1147" spans="9:17" x14ac:dyDescent="0.3">
      <c r="I1147"/>
      <c r="J1147"/>
      <c r="K1147"/>
      <c r="L1147"/>
      <c r="M1147"/>
      <c r="N1147"/>
      <c r="O1147"/>
      <c r="P1147"/>
      <c r="Q1147"/>
    </row>
    <row r="1148" spans="9:17" x14ac:dyDescent="0.3">
      <c r="I1148"/>
      <c r="J1148"/>
      <c r="K1148"/>
      <c r="L1148"/>
      <c r="M1148"/>
      <c r="N1148"/>
      <c r="O1148"/>
      <c r="P1148"/>
      <c r="Q1148"/>
    </row>
    <row r="1149" spans="9:17" x14ac:dyDescent="0.3">
      <c r="I1149"/>
      <c r="J1149"/>
      <c r="K1149"/>
      <c r="L1149"/>
      <c r="M1149"/>
      <c r="N1149"/>
      <c r="O1149"/>
      <c r="P1149"/>
      <c r="Q1149"/>
    </row>
    <row r="1150" spans="9:17" x14ac:dyDescent="0.3">
      <c r="I1150"/>
      <c r="J1150"/>
      <c r="K1150"/>
      <c r="L1150"/>
      <c r="M1150"/>
      <c r="N1150"/>
      <c r="O1150"/>
      <c r="P1150"/>
      <c r="Q1150"/>
    </row>
    <row r="1151" spans="9:17" x14ac:dyDescent="0.3">
      <c r="I1151"/>
      <c r="J1151"/>
      <c r="K1151"/>
      <c r="L1151"/>
      <c r="M1151"/>
      <c r="N1151"/>
      <c r="O1151"/>
      <c r="P1151"/>
      <c r="Q1151"/>
    </row>
    <row r="1152" spans="9:17" x14ac:dyDescent="0.3">
      <c r="I1152"/>
      <c r="J1152"/>
      <c r="K1152"/>
      <c r="L1152"/>
      <c r="M1152"/>
      <c r="N1152"/>
      <c r="O1152"/>
      <c r="P1152"/>
      <c r="Q1152"/>
    </row>
    <row r="1153" spans="9:17" x14ac:dyDescent="0.3">
      <c r="I1153"/>
      <c r="J1153"/>
      <c r="K1153"/>
      <c r="L1153"/>
      <c r="M1153"/>
      <c r="N1153"/>
      <c r="O1153"/>
      <c r="P1153"/>
      <c r="Q1153"/>
    </row>
    <row r="1154" spans="9:17" x14ac:dyDescent="0.3">
      <c r="I1154"/>
      <c r="J1154"/>
      <c r="K1154"/>
      <c r="L1154"/>
      <c r="M1154"/>
      <c r="N1154"/>
      <c r="O1154"/>
      <c r="P1154"/>
      <c r="Q1154"/>
    </row>
    <row r="1155" spans="9:17" x14ac:dyDescent="0.3">
      <c r="I1155"/>
      <c r="J1155"/>
      <c r="K1155"/>
      <c r="L1155"/>
      <c r="M1155"/>
      <c r="N1155"/>
      <c r="O1155"/>
      <c r="P1155"/>
      <c r="Q1155"/>
    </row>
    <row r="1156" spans="9:17" x14ac:dyDescent="0.3">
      <c r="I1156"/>
      <c r="J1156"/>
      <c r="K1156"/>
      <c r="L1156"/>
      <c r="M1156"/>
      <c r="N1156"/>
      <c r="O1156"/>
      <c r="P1156"/>
      <c r="Q1156"/>
    </row>
    <row r="1157" spans="9:17" x14ac:dyDescent="0.3">
      <c r="I1157"/>
      <c r="J1157"/>
      <c r="K1157"/>
      <c r="L1157"/>
      <c r="M1157"/>
      <c r="N1157"/>
      <c r="O1157"/>
      <c r="P1157"/>
      <c r="Q1157"/>
    </row>
    <row r="1158" spans="9:17" x14ac:dyDescent="0.3">
      <c r="I1158"/>
      <c r="J1158"/>
      <c r="K1158"/>
      <c r="L1158"/>
      <c r="M1158"/>
      <c r="N1158"/>
      <c r="O1158"/>
      <c r="P1158"/>
      <c r="Q1158"/>
    </row>
    <row r="1159" spans="9:17" x14ac:dyDescent="0.3">
      <c r="I1159"/>
      <c r="J1159"/>
      <c r="K1159"/>
      <c r="L1159"/>
      <c r="M1159"/>
      <c r="N1159"/>
      <c r="O1159"/>
      <c r="P1159"/>
      <c r="Q1159"/>
    </row>
    <row r="1160" spans="9:17" x14ac:dyDescent="0.3">
      <c r="I1160"/>
      <c r="J1160"/>
      <c r="K1160"/>
      <c r="L1160"/>
      <c r="M1160"/>
      <c r="N1160"/>
      <c r="O1160"/>
      <c r="P1160"/>
      <c r="Q1160"/>
    </row>
    <row r="1161" spans="9:17" x14ac:dyDescent="0.3">
      <c r="I1161"/>
      <c r="J1161"/>
      <c r="K1161"/>
      <c r="L1161"/>
      <c r="M1161"/>
      <c r="N1161"/>
      <c r="O1161"/>
      <c r="P1161"/>
      <c r="Q1161"/>
    </row>
    <row r="1162" spans="9:17" x14ac:dyDescent="0.3">
      <c r="I1162"/>
      <c r="J1162"/>
      <c r="K1162"/>
      <c r="L1162"/>
      <c r="M1162"/>
      <c r="N1162"/>
      <c r="O1162"/>
      <c r="P1162"/>
      <c r="Q1162"/>
    </row>
    <row r="1163" spans="9:17" x14ac:dyDescent="0.3">
      <c r="I1163"/>
      <c r="J1163"/>
      <c r="K1163"/>
      <c r="L1163"/>
      <c r="M1163"/>
      <c r="N1163"/>
      <c r="O1163"/>
      <c r="P1163"/>
      <c r="Q1163"/>
    </row>
    <row r="1164" spans="9:17" x14ac:dyDescent="0.3">
      <c r="I1164"/>
      <c r="J1164"/>
      <c r="K1164"/>
      <c r="L1164"/>
      <c r="M1164"/>
      <c r="N1164"/>
      <c r="O1164"/>
      <c r="P1164"/>
      <c r="Q1164"/>
    </row>
    <row r="1165" spans="9:17" x14ac:dyDescent="0.3">
      <c r="I1165"/>
      <c r="J1165"/>
      <c r="K1165"/>
      <c r="L1165"/>
      <c r="M1165"/>
      <c r="N1165"/>
      <c r="O1165"/>
      <c r="P1165"/>
      <c r="Q1165"/>
    </row>
    <row r="1166" spans="9:17" x14ac:dyDescent="0.3">
      <c r="I1166"/>
      <c r="J1166"/>
      <c r="K1166"/>
      <c r="L1166"/>
      <c r="M1166"/>
      <c r="N1166"/>
      <c r="O1166"/>
      <c r="P1166"/>
      <c r="Q1166"/>
    </row>
    <row r="1167" spans="9:17" x14ac:dyDescent="0.3">
      <c r="I1167"/>
      <c r="J1167"/>
      <c r="K1167"/>
      <c r="L1167"/>
      <c r="M1167"/>
      <c r="N1167"/>
      <c r="O1167"/>
      <c r="P1167"/>
      <c r="Q1167"/>
    </row>
    <row r="1168" spans="9:17" x14ac:dyDescent="0.3">
      <c r="I1168"/>
      <c r="J1168"/>
      <c r="K1168"/>
      <c r="L1168"/>
      <c r="M1168"/>
      <c r="N1168"/>
      <c r="O1168"/>
      <c r="P1168"/>
      <c r="Q1168"/>
    </row>
    <row r="1169" spans="9:17" x14ac:dyDescent="0.3">
      <c r="I1169"/>
      <c r="J1169"/>
      <c r="K1169"/>
      <c r="L1169"/>
      <c r="M1169"/>
      <c r="N1169"/>
      <c r="O1169"/>
      <c r="P1169"/>
      <c r="Q1169"/>
    </row>
    <row r="1170" spans="9:17" x14ac:dyDescent="0.3">
      <c r="I1170"/>
      <c r="J1170"/>
      <c r="K1170"/>
      <c r="L1170"/>
      <c r="M1170"/>
      <c r="N1170"/>
      <c r="O1170"/>
      <c r="P1170"/>
      <c r="Q1170"/>
    </row>
    <row r="1171" spans="9:17" x14ac:dyDescent="0.3">
      <c r="I1171"/>
      <c r="J1171"/>
      <c r="K1171"/>
      <c r="L1171"/>
      <c r="M1171"/>
      <c r="N1171"/>
      <c r="O1171"/>
      <c r="P1171"/>
      <c r="Q1171"/>
    </row>
    <row r="1172" spans="9:17" x14ac:dyDescent="0.3">
      <c r="I1172"/>
      <c r="J1172"/>
      <c r="K1172"/>
      <c r="L1172"/>
      <c r="M1172"/>
      <c r="N1172"/>
      <c r="O1172"/>
      <c r="P1172"/>
      <c r="Q1172"/>
    </row>
    <row r="1173" spans="9:17" x14ac:dyDescent="0.3">
      <c r="I1173"/>
      <c r="J1173"/>
      <c r="K1173"/>
      <c r="L1173"/>
      <c r="M1173"/>
      <c r="N1173"/>
      <c r="O1173"/>
      <c r="P1173"/>
      <c r="Q1173"/>
    </row>
    <row r="1174" spans="9:17" x14ac:dyDescent="0.3">
      <c r="I1174"/>
      <c r="J1174"/>
      <c r="K1174"/>
      <c r="L1174"/>
      <c r="M1174"/>
      <c r="N1174"/>
      <c r="O1174"/>
      <c r="P1174"/>
      <c r="Q1174"/>
    </row>
    <row r="1175" spans="9:17" x14ac:dyDescent="0.3">
      <c r="I1175"/>
      <c r="J1175"/>
      <c r="K1175"/>
      <c r="L1175"/>
      <c r="M1175"/>
      <c r="N1175"/>
      <c r="O1175"/>
      <c r="P1175"/>
      <c r="Q1175"/>
    </row>
    <row r="1176" spans="9:17" x14ac:dyDescent="0.3">
      <c r="I1176"/>
      <c r="J1176"/>
      <c r="K1176"/>
      <c r="L1176"/>
      <c r="M1176"/>
      <c r="N1176"/>
      <c r="O1176"/>
      <c r="P1176"/>
      <c r="Q1176"/>
    </row>
    <row r="1177" spans="9:17" x14ac:dyDescent="0.3">
      <c r="I1177"/>
      <c r="J1177"/>
      <c r="K1177"/>
      <c r="L1177"/>
      <c r="M1177"/>
      <c r="N1177"/>
      <c r="O1177"/>
      <c r="P1177"/>
      <c r="Q1177"/>
    </row>
    <row r="1178" spans="9:17" x14ac:dyDescent="0.3">
      <c r="I1178"/>
      <c r="J1178"/>
      <c r="K1178"/>
      <c r="L1178"/>
      <c r="M1178"/>
      <c r="N1178"/>
      <c r="O1178"/>
      <c r="P1178"/>
      <c r="Q1178"/>
    </row>
    <row r="1179" spans="9:17" x14ac:dyDescent="0.3">
      <c r="I1179"/>
      <c r="J1179"/>
      <c r="K1179"/>
      <c r="L1179"/>
      <c r="M1179"/>
      <c r="N1179"/>
      <c r="O1179"/>
      <c r="P1179"/>
      <c r="Q1179"/>
    </row>
    <row r="1180" spans="9:17" x14ac:dyDescent="0.3">
      <c r="I1180"/>
      <c r="J1180"/>
      <c r="K1180"/>
      <c r="L1180"/>
      <c r="M1180"/>
      <c r="N1180"/>
      <c r="O1180"/>
      <c r="P1180"/>
      <c r="Q1180"/>
    </row>
    <row r="1181" spans="9:17" x14ac:dyDescent="0.3">
      <c r="I1181"/>
      <c r="J1181"/>
      <c r="K1181"/>
      <c r="L1181"/>
      <c r="M1181"/>
      <c r="N1181"/>
      <c r="O1181"/>
      <c r="P1181"/>
      <c r="Q1181"/>
    </row>
    <row r="1182" spans="9:17" x14ac:dyDescent="0.3">
      <c r="I1182"/>
      <c r="J1182"/>
      <c r="K1182"/>
      <c r="L1182"/>
      <c r="M1182"/>
      <c r="N1182"/>
      <c r="O1182"/>
      <c r="P1182"/>
      <c r="Q1182"/>
    </row>
    <row r="1183" spans="9:17" x14ac:dyDescent="0.3">
      <c r="I1183"/>
      <c r="J1183"/>
      <c r="K1183"/>
      <c r="L1183"/>
      <c r="M1183"/>
      <c r="N1183"/>
      <c r="O1183"/>
      <c r="P1183"/>
      <c r="Q1183"/>
    </row>
    <row r="1184" spans="9:17" x14ac:dyDescent="0.3">
      <c r="I1184"/>
      <c r="J1184"/>
      <c r="K1184"/>
      <c r="L1184"/>
      <c r="M1184"/>
      <c r="N1184"/>
      <c r="O1184"/>
      <c r="P1184"/>
      <c r="Q1184"/>
    </row>
    <row r="1185" spans="9:17" x14ac:dyDescent="0.3">
      <c r="I1185"/>
      <c r="J1185"/>
      <c r="K1185"/>
      <c r="L1185"/>
      <c r="M1185"/>
      <c r="N1185"/>
      <c r="O1185"/>
      <c r="P1185"/>
      <c r="Q1185"/>
    </row>
    <row r="1186" spans="9:17" x14ac:dyDescent="0.3">
      <c r="I1186"/>
      <c r="J1186"/>
      <c r="K1186"/>
      <c r="L1186"/>
      <c r="M1186"/>
      <c r="N1186"/>
      <c r="O1186"/>
      <c r="P1186"/>
      <c r="Q1186"/>
    </row>
    <row r="1187" spans="9:17" x14ac:dyDescent="0.3">
      <c r="I1187"/>
      <c r="J1187"/>
      <c r="K1187"/>
      <c r="L1187"/>
      <c r="M1187"/>
      <c r="N1187"/>
      <c r="O1187"/>
      <c r="P1187"/>
      <c r="Q1187"/>
    </row>
    <row r="1188" spans="9:17" x14ac:dyDescent="0.3">
      <c r="I1188"/>
      <c r="J1188"/>
      <c r="K1188"/>
      <c r="L1188"/>
      <c r="M1188"/>
      <c r="N1188"/>
      <c r="O1188"/>
      <c r="P1188"/>
      <c r="Q1188"/>
    </row>
    <row r="1189" spans="9:17" x14ac:dyDescent="0.3">
      <c r="I1189"/>
      <c r="J1189"/>
      <c r="K1189"/>
      <c r="L1189"/>
      <c r="M1189"/>
      <c r="N1189"/>
      <c r="O1189"/>
      <c r="P1189"/>
      <c r="Q1189"/>
    </row>
    <row r="1190" spans="9:17" x14ac:dyDescent="0.3">
      <c r="I1190"/>
      <c r="J1190"/>
      <c r="K1190"/>
      <c r="L1190"/>
      <c r="M1190"/>
      <c r="N1190"/>
      <c r="O1190"/>
      <c r="P1190"/>
      <c r="Q1190"/>
    </row>
    <row r="1191" spans="9:17" x14ac:dyDescent="0.3">
      <c r="I1191"/>
      <c r="J1191"/>
      <c r="K1191"/>
      <c r="L1191"/>
      <c r="M1191"/>
      <c r="N1191"/>
      <c r="O1191"/>
      <c r="P1191"/>
      <c r="Q1191"/>
    </row>
    <row r="1192" spans="9:17" x14ac:dyDescent="0.3">
      <c r="I1192"/>
      <c r="J1192"/>
      <c r="K1192"/>
      <c r="L1192"/>
      <c r="M1192"/>
      <c r="N1192"/>
      <c r="O1192"/>
      <c r="P1192"/>
      <c r="Q1192"/>
    </row>
    <row r="1193" spans="9:17" x14ac:dyDescent="0.3">
      <c r="I1193"/>
      <c r="J1193"/>
      <c r="K1193"/>
      <c r="L1193"/>
      <c r="M1193"/>
      <c r="N1193"/>
      <c r="O1193"/>
      <c r="P1193"/>
      <c r="Q1193"/>
    </row>
    <row r="1194" spans="9:17" x14ac:dyDescent="0.3">
      <c r="I1194"/>
      <c r="J1194"/>
      <c r="K1194"/>
      <c r="L1194"/>
      <c r="M1194"/>
      <c r="N1194"/>
      <c r="O1194"/>
      <c r="P1194"/>
      <c r="Q1194"/>
    </row>
    <row r="1195" spans="9:17" x14ac:dyDescent="0.3">
      <c r="I1195"/>
      <c r="J1195"/>
      <c r="K1195"/>
      <c r="L1195"/>
      <c r="M1195"/>
      <c r="N1195"/>
      <c r="O1195"/>
      <c r="P1195"/>
      <c r="Q1195"/>
    </row>
    <row r="1196" spans="9:17" x14ac:dyDescent="0.3">
      <c r="I1196"/>
      <c r="J1196"/>
      <c r="K1196"/>
      <c r="L1196"/>
      <c r="M1196"/>
      <c r="N1196"/>
      <c r="O1196"/>
      <c r="P1196"/>
      <c r="Q1196"/>
    </row>
    <row r="1197" spans="9:17" x14ac:dyDescent="0.3">
      <c r="I1197"/>
      <c r="J1197"/>
      <c r="K1197"/>
      <c r="L1197"/>
      <c r="M1197"/>
      <c r="N1197"/>
      <c r="O1197"/>
      <c r="P1197"/>
      <c r="Q1197"/>
    </row>
    <row r="1198" spans="9:17" x14ac:dyDescent="0.3">
      <c r="I1198"/>
      <c r="J1198"/>
      <c r="K1198"/>
      <c r="L1198"/>
      <c r="M1198"/>
      <c r="N1198"/>
      <c r="O1198"/>
      <c r="P1198"/>
      <c r="Q1198"/>
    </row>
    <row r="1199" spans="9:17" x14ac:dyDescent="0.3">
      <c r="I1199"/>
      <c r="J1199"/>
      <c r="K1199"/>
      <c r="L1199"/>
      <c r="M1199"/>
      <c r="N1199"/>
      <c r="O1199"/>
      <c r="P1199"/>
      <c r="Q1199"/>
    </row>
    <row r="1200" spans="9:17" x14ac:dyDescent="0.3">
      <c r="I1200"/>
      <c r="J1200"/>
      <c r="K1200"/>
      <c r="L1200"/>
      <c r="M1200"/>
      <c r="N1200"/>
      <c r="O1200"/>
      <c r="P1200"/>
      <c r="Q1200"/>
    </row>
    <row r="1201" spans="9:17" x14ac:dyDescent="0.3">
      <c r="I1201"/>
      <c r="J1201"/>
      <c r="K1201"/>
      <c r="L1201"/>
      <c r="M1201"/>
      <c r="N1201"/>
      <c r="O1201"/>
      <c r="P1201"/>
      <c r="Q1201"/>
    </row>
    <row r="1202" spans="9:17" x14ac:dyDescent="0.3">
      <c r="I1202"/>
      <c r="J1202"/>
      <c r="K1202"/>
      <c r="L1202"/>
      <c r="M1202"/>
      <c r="N1202"/>
      <c r="O1202"/>
      <c r="P1202"/>
      <c r="Q1202"/>
    </row>
    <row r="1203" spans="9:17" x14ac:dyDescent="0.3">
      <c r="I1203"/>
      <c r="J1203"/>
      <c r="K1203"/>
      <c r="L1203"/>
      <c r="M1203"/>
      <c r="N1203"/>
      <c r="O1203"/>
      <c r="P1203"/>
      <c r="Q1203"/>
    </row>
    <row r="1204" spans="9:17" x14ac:dyDescent="0.3">
      <c r="I1204"/>
      <c r="J1204"/>
      <c r="K1204"/>
      <c r="L1204"/>
      <c r="M1204"/>
      <c r="N1204"/>
      <c r="O1204"/>
      <c r="P1204"/>
      <c r="Q1204"/>
    </row>
    <row r="1205" spans="9:17" x14ac:dyDescent="0.3">
      <c r="I1205"/>
      <c r="J1205"/>
      <c r="K1205"/>
      <c r="L1205"/>
      <c r="M1205"/>
      <c r="N1205"/>
      <c r="O1205"/>
      <c r="P1205"/>
      <c r="Q1205"/>
    </row>
    <row r="1206" spans="9:17" x14ac:dyDescent="0.3">
      <c r="I1206"/>
      <c r="J1206"/>
      <c r="K1206"/>
      <c r="L1206"/>
      <c r="M1206"/>
      <c r="N1206"/>
      <c r="O1206"/>
      <c r="P1206"/>
      <c r="Q1206"/>
    </row>
    <row r="1207" spans="9:17" x14ac:dyDescent="0.3">
      <c r="I1207"/>
      <c r="J1207"/>
      <c r="K1207"/>
      <c r="L1207"/>
      <c r="M1207"/>
      <c r="N1207"/>
      <c r="O1207"/>
      <c r="P1207"/>
      <c r="Q1207"/>
    </row>
    <row r="1208" spans="9:17" x14ac:dyDescent="0.3">
      <c r="I1208"/>
      <c r="J1208"/>
      <c r="K1208"/>
      <c r="L1208"/>
      <c r="M1208"/>
      <c r="N1208"/>
      <c r="O1208"/>
      <c r="P1208"/>
      <c r="Q1208"/>
    </row>
    <row r="1209" spans="9:17" x14ac:dyDescent="0.3">
      <c r="I1209"/>
      <c r="J1209"/>
      <c r="K1209"/>
      <c r="L1209"/>
      <c r="M1209"/>
      <c r="N1209"/>
      <c r="O1209"/>
      <c r="P1209"/>
      <c r="Q1209"/>
    </row>
    <row r="1210" spans="9:17" x14ac:dyDescent="0.3">
      <c r="I1210"/>
      <c r="J1210"/>
      <c r="K1210"/>
      <c r="L1210"/>
      <c r="M1210"/>
      <c r="N1210"/>
      <c r="O1210"/>
      <c r="P1210"/>
      <c r="Q1210"/>
    </row>
    <row r="1211" spans="9:17" x14ac:dyDescent="0.3">
      <c r="I1211"/>
      <c r="J1211"/>
      <c r="K1211"/>
      <c r="L1211"/>
      <c r="M1211"/>
      <c r="N1211"/>
      <c r="O1211"/>
      <c r="P1211"/>
      <c r="Q1211"/>
    </row>
    <row r="1212" spans="9:17" x14ac:dyDescent="0.3">
      <c r="I1212"/>
      <c r="J1212"/>
      <c r="K1212"/>
      <c r="L1212"/>
      <c r="M1212"/>
      <c r="N1212"/>
      <c r="O1212"/>
      <c r="P1212"/>
      <c r="Q1212"/>
    </row>
    <row r="1213" spans="9:17" x14ac:dyDescent="0.3">
      <c r="I1213"/>
      <c r="J1213"/>
      <c r="K1213"/>
      <c r="L1213"/>
      <c r="M1213"/>
      <c r="N1213"/>
      <c r="O1213"/>
      <c r="P1213"/>
      <c r="Q1213"/>
    </row>
    <row r="1214" spans="9:17" x14ac:dyDescent="0.3">
      <c r="I1214"/>
      <c r="J1214"/>
      <c r="K1214"/>
      <c r="L1214"/>
      <c r="M1214"/>
      <c r="N1214"/>
      <c r="O1214"/>
      <c r="P1214"/>
      <c r="Q1214"/>
    </row>
    <row r="1215" spans="9:17" x14ac:dyDescent="0.3">
      <c r="I1215"/>
      <c r="J1215"/>
      <c r="K1215"/>
      <c r="L1215"/>
      <c r="M1215"/>
      <c r="N1215"/>
      <c r="O1215"/>
      <c r="P1215"/>
      <c r="Q1215"/>
    </row>
    <row r="1216" spans="9:17" x14ac:dyDescent="0.3">
      <c r="I1216"/>
      <c r="J1216"/>
      <c r="K1216"/>
      <c r="L1216"/>
      <c r="M1216"/>
      <c r="N1216"/>
      <c r="O1216"/>
      <c r="P1216"/>
      <c r="Q1216"/>
    </row>
    <row r="1217" spans="9:17" x14ac:dyDescent="0.3">
      <c r="I1217"/>
      <c r="J1217"/>
      <c r="K1217"/>
      <c r="L1217"/>
      <c r="M1217"/>
      <c r="N1217"/>
      <c r="O1217"/>
      <c r="P1217"/>
      <c r="Q1217"/>
    </row>
    <row r="1218" spans="9:17" x14ac:dyDescent="0.3">
      <c r="I1218"/>
      <c r="J1218"/>
      <c r="K1218"/>
      <c r="L1218"/>
      <c r="M1218"/>
      <c r="N1218"/>
      <c r="O1218"/>
      <c r="P1218"/>
      <c r="Q1218"/>
    </row>
    <row r="1219" spans="9:17" x14ac:dyDescent="0.3">
      <c r="I1219"/>
      <c r="J1219"/>
      <c r="K1219"/>
      <c r="L1219"/>
      <c r="M1219"/>
      <c r="N1219"/>
      <c r="O1219"/>
      <c r="P1219"/>
      <c r="Q1219"/>
    </row>
    <row r="1220" spans="9:17" x14ac:dyDescent="0.3">
      <c r="I1220"/>
      <c r="J1220"/>
      <c r="K1220"/>
      <c r="L1220"/>
      <c r="M1220"/>
      <c r="N1220"/>
      <c r="O1220"/>
      <c r="P1220"/>
      <c r="Q1220"/>
    </row>
    <row r="1221" spans="9:17" x14ac:dyDescent="0.3">
      <c r="I1221"/>
      <c r="J1221"/>
      <c r="K1221"/>
      <c r="L1221"/>
      <c r="M1221"/>
      <c r="N1221"/>
      <c r="O1221"/>
      <c r="P1221"/>
      <c r="Q1221"/>
    </row>
    <row r="1222" spans="9:17" x14ac:dyDescent="0.3">
      <c r="I1222"/>
      <c r="J1222"/>
      <c r="K1222"/>
      <c r="L1222"/>
      <c r="M1222"/>
      <c r="N1222"/>
      <c r="O1222"/>
      <c r="P1222"/>
      <c r="Q1222"/>
    </row>
    <row r="1223" spans="9:17" x14ac:dyDescent="0.3">
      <c r="I1223"/>
      <c r="J1223"/>
      <c r="K1223"/>
      <c r="L1223"/>
      <c r="M1223"/>
      <c r="N1223"/>
      <c r="O1223"/>
      <c r="P1223"/>
      <c r="Q1223"/>
    </row>
    <row r="1224" spans="9:17" x14ac:dyDescent="0.3">
      <c r="I1224"/>
      <c r="J1224"/>
      <c r="K1224"/>
      <c r="L1224"/>
      <c r="M1224"/>
      <c r="N1224"/>
      <c r="O1224"/>
      <c r="P1224"/>
      <c r="Q1224"/>
    </row>
    <row r="1225" spans="9:17" x14ac:dyDescent="0.3">
      <c r="I1225"/>
      <c r="J1225"/>
      <c r="K1225"/>
      <c r="L1225"/>
      <c r="M1225"/>
      <c r="N1225"/>
      <c r="O1225"/>
      <c r="P1225"/>
      <c r="Q1225"/>
    </row>
    <row r="1226" spans="9:17" x14ac:dyDescent="0.3">
      <c r="I1226"/>
      <c r="J1226"/>
      <c r="K1226"/>
      <c r="L1226"/>
      <c r="M1226"/>
      <c r="N1226"/>
      <c r="O1226"/>
      <c r="P1226"/>
      <c r="Q1226"/>
    </row>
    <row r="1227" spans="9:17" x14ac:dyDescent="0.3">
      <c r="I1227"/>
      <c r="J1227"/>
      <c r="K1227"/>
      <c r="L1227"/>
      <c r="M1227"/>
      <c r="N1227"/>
      <c r="O1227"/>
      <c r="P1227"/>
      <c r="Q1227"/>
    </row>
    <row r="1228" spans="9:17" x14ac:dyDescent="0.3">
      <c r="I1228"/>
      <c r="J1228"/>
      <c r="K1228"/>
      <c r="L1228"/>
      <c r="M1228"/>
      <c r="N1228"/>
      <c r="O1228"/>
      <c r="P1228"/>
      <c r="Q1228"/>
    </row>
    <row r="1229" spans="9:17" x14ac:dyDescent="0.3">
      <c r="I1229"/>
      <c r="J1229"/>
      <c r="K1229"/>
      <c r="L1229"/>
      <c r="M1229"/>
      <c r="N1229"/>
      <c r="O1229"/>
      <c r="P1229"/>
      <c r="Q1229"/>
    </row>
    <row r="1230" spans="9:17" x14ac:dyDescent="0.3">
      <c r="I1230"/>
      <c r="J1230"/>
      <c r="K1230"/>
      <c r="L1230"/>
      <c r="M1230"/>
      <c r="N1230"/>
      <c r="O1230"/>
      <c r="P1230"/>
      <c r="Q1230"/>
    </row>
    <row r="1231" spans="9:17" x14ac:dyDescent="0.3">
      <c r="I1231"/>
      <c r="J1231"/>
      <c r="K1231"/>
      <c r="L1231"/>
      <c r="M1231"/>
      <c r="N1231"/>
      <c r="O1231"/>
      <c r="P1231"/>
      <c r="Q1231"/>
    </row>
    <row r="1232" spans="9:17" x14ac:dyDescent="0.3">
      <c r="I1232"/>
      <c r="J1232"/>
      <c r="K1232"/>
      <c r="L1232"/>
      <c r="M1232"/>
      <c r="N1232"/>
      <c r="O1232"/>
      <c r="P1232"/>
      <c r="Q1232"/>
    </row>
    <row r="1233" spans="9:17" x14ac:dyDescent="0.3">
      <c r="I1233"/>
      <c r="J1233"/>
      <c r="K1233"/>
      <c r="L1233"/>
      <c r="M1233"/>
      <c r="N1233"/>
      <c r="O1233"/>
      <c r="P1233"/>
      <c r="Q1233"/>
    </row>
    <row r="1234" spans="9:17" x14ac:dyDescent="0.3">
      <c r="I1234"/>
      <c r="J1234"/>
      <c r="K1234"/>
      <c r="L1234"/>
      <c r="M1234"/>
      <c r="N1234"/>
      <c r="O1234"/>
      <c r="P1234"/>
      <c r="Q1234"/>
    </row>
    <row r="1235" spans="9:17" x14ac:dyDescent="0.3">
      <c r="I1235"/>
      <c r="J1235"/>
      <c r="K1235"/>
      <c r="L1235"/>
      <c r="M1235"/>
      <c r="N1235"/>
      <c r="O1235"/>
      <c r="P1235"/>
      <c r="Q1235"/>
    </row>
    <row r="1236" spans="9:17" x14ac:dyDescent="0.3">
      <c r="I1236"/>
      <c r="J1236"/>
      <c r="K1236"/>
      <c r="L1236"/>
      <c r="M1236"/>
      <c r="N1236"/>
      <c r="O1236"/>
      <c r="P1236"/>
      <c r="Q1236"/>
    </row>
    <row r="1237" spans="9:17" x14ac:dyDescent="0.3">
      <c r="I1237"/>
      <c r="J1237"/>
      <c r="K1237"/>
      <c r="L1237"/>
      <c r="M1237"/>
      <c r="N1237"/>
      <c r="O1237"/>
      <c r="P1237"/>
      <c r="Q1237"/>
    </row>
    <row r="1238" spans="9:17" x14ac:dyDescent="0.3">
      <c r="I1238"/>
      <c r="J1238"/>
      <c r="K1238"/>
      <c r="L1238"/>
      <c r="M1238"/>
      <c r="N1238"/>
      <c r="O1238"/>
      <c r="P1238"/>
      <c r="Q1238"/>
    </row>
    <row r="1239" spans="9:17" x14ac:dyDescent="0.3">
      <c r="I1239"/>
      <c r="J1239"/>
      <c r="K1239"/>
      <c r="L1239"/>
      <c r="M1239"/>
      <c r="N1239"/>
      <c r="O1239"/>
      <c r="P1239"/>
      <c r="Q1239"/>
    </row>
    <row r="1240" spans="9:17" x14ac:dyDescent="0.3">
      <c r="I1240"/>
      <c r="J1240"/>
      <c r="K1240"/>
      <c r="L1240"/>
      <c r="M1240"/>
      <c r="N1240"/>
      <c r="O1240"/>
      <c r="P1240"/>
      <c r="Q1240"/>
    </row>
    <row r="1241" spans="9:17" x14ac:dyDescent="0.3">
      <c r="I1241"/>
      <c r="J1241"/>
      <c r="K1241"/>
      <c r="L1241"/>
      <c r="M1241"/>
      <c r="N1241"/>
      <c r="O1241"/>
      <c r="P1241"/>
      <c r="Q1241"/>
    </row>
    <row r="1242" spans="9:17" x14ac:dyDescent="0.3">
      <c r="I1242"/>
      <c r="J1242"/>
      <c r="K1242"/>
      <c r="L1242"/>
      <c r="M1242"/>
      <c r="N1242"/>
      <c r="O1242"/>
      <c r="P1242"/>
      <c r="Q1242"/>
    </row>
    <row r="1243" spans="9:17" x14ac:dyDescent="0.3">
      <c r="I1243"/>
      <c r="J1243"/>
      <c r="K1243"/>
      <c r="L1243"/>
      <c r="M1243"/>
      <c r="N1243"/>
      <c r="O1243"/>
      <c r="P1243"/>
      <c r="Q1243"/>
    </row>
    <row r="1244" spans="9:17" x14ac:dyDescent="0.3">
      <c r="I1244"/>
      <c r="J1244"/>
      <c r="K1244"/>
      <c r="L1244"/>
      <c r="M1244"/>
      <c r="N1244"/>
      <c r="O1244"/>
      <c r="P1244"/>
      <c r="Q1244"/>
    </row>
    <row r="1245" spans="9:17" x14ac:dyDescent="0.3">
      <c r="I1245"/>
      <c r="J1245"/>
      <c r="K1245"/>
      <c r="L1245"/>
      <c r="M1245"/>
      <c r="N1245"/>
      <c r="O1245"/>
      <c r="P1245"/>
      <c r="Q1245"/>
    </row>
    <row r="1246" spans="9:17" x14ac:dyDescent="0.3">
      <c r="I1246"/>
      <c r="J1246"/>
      <c r="K1246"/>
      <c r="L1246"/>
      <c r="M1246"/>
      <c r="N1246"/>
      <c r="O1246"/>
      <c r="P1246"/>
      <c r="Q1246"/>
    </row>
    <row r="1247" spans="9:17" x14ac:dyDescent="0.3">
      <c r="I1247"/>
      <c r="J1247"/>
      <c r="K1247"/>
      <c r="L1247"/>
      <c r="M1247"/>
      <c r="N1247"/>
      <c r="O1247"/>
      <c r="P1247"/>
      <c r="Q1247"/>
    </row>
    <row r="1248" spans="9:17" x14ac:dyDescent="0.3">
      <c r="I1248"/>
      <c r="J1248"/>
      <c r="K1248"/>
      <c r="L1248"/>
      <c r="M1248"/>
      <c r="N1248"/>
      <c r="O1248"/>
      <c r="P1248"/>
      <c r="Q1248"/>
    </row>
    <row r="1249" spans="9:17" x14ac:dyDescent="0.3">
      <c r="I1249"/>
      <c r="J1249"/>
      <c r="K1249"/>
      <c r="L1249"/>
      <c r="M1249"/>
      <c r="N1249"/>
      <c r="O1249"/>
      <c r="P1249"/>
      <c r="Q1249"/>
    </row>
    <row r="1250" spans="9:17" x14ac:dyDescent="0.3">
      <c r="I1250"/>
      <c r="J1250"/>
      <c r="K1250"/>
      <c r="L1250"/>
      <c r="M1250"/>
      <c r="N1250"/>
      <c r="O1250"/>
      <c r="P1250"/>
      <c r="Q1250"/>
    </row>
    <row r="1251" spans="9:17" x14ac:dyDescent="0.3">
      <c r="I1251"/>
      <c r="J1251"/>
      <c r="K1251"/>
      <c r="L1251"/>
      <c r="M1251"/>
      <c r="N1251"/>
      <c r="O1251"/>
      <c r="P1251"/>
      <c r="Q1251"/>
    </row>
    <row r="1252" spans="9:17" x14ac:dyDescent="0.3">
      <c r="I1252"/>
      <c r="J1252"/>
      <c r="K1252"/>
      <c r="L1252"/>
      <c r="M1252"/>
      <c r="N1252"/>
      <c r="O1252"/>
      <c r="P1252"/>
      <c r="Q1252"/>
    </row>
    <row r="1253" spans="9:17" x14ac:dyDescent="0.3">
      <c r="I1253"/>
      <c r="J1253"/>
      <c r="K1253"/>
      <c r="L1253"/>
      <c r="M1253"/>
      <c r="N1253"/>
      <c r="O1253"/>
      <c r="P1253"/>
      <c r="Q1253"/>
    </row>
    <row r="1254" spans="9:17" x14ac:dyDescent="0.3">
      <c r="I1254"/>
      <c r="J1254"/>
      <c r="K1254"/>
      <c r="L1254"/>
      <c r="M1254"/>
      <c r="N1254"/>
      <c r="O1254"/>
      <c r="P1254"/>
      <c r="Q1254"/>
    </row>
    <row r="1255" spans="9:17" x14ac:dyDescent="0.3">
      <c r="I1255"/>
      <c r="J1255"/>
      <c r="K1255"/>
      <c r="L1255"/>
      <c r="M1255"/>
      <c r="N1255"/>
      <c r="O1255"/>
      <c r="P1255"/>
      <c r="Q1255"/>
    </row>
    <row r="1256" spans="9:17" x14ac:dyDescent="0.3">
      <c r="I1256"/>
      <c r="J1256"/>
      <c r="K1256"/>
      <c r="L1256"/>
      <c r="M1256"/>
      <c r="N1256"/>
      <c r="O1256"/>
      <c r="P1256"/>
      <c r="Q1256"/>
    </row>
    <row r="1257" spans="9:17" x14ac:dyDescent="0.3">
      <c r="I1257"/>
      <c r="J1257"/>
      <c r="K1257"/>
      <c r="L1257"/>
      <c r="M1257"/>
      <c r="N1257"/>
      <c r="O1257"/>
      <c r="P1257"/>
      <c r="Q1257"/>
    </row>
    <row r="1258" spans="9:17" x14ac:dyDescent="0.3">
      <c r="I1258"/>
      <c r="J1258"/>
      <c r="K1258"/>
      <c r="L1258"/>
      <c r="M1258"/>
      <c r="N1258"/>
      <c r="O1258"/>
      <c r="P1258"/>
      <c r="Q1258"/>
    </row>
    <row r="1259" spans="9:17" x14ac:dyDescent="0.3">
      <c r="I1259"/>
      <c r="J1259"/>
      <c r="K1259"/>
      <c r="L1259"/>
      <c r="M1259"/>
      <c r="N1259"/>
      <c r="O1259"/>
      <c r="P1259"/>
      <c r="Q1259"/>
    </row>
    <row r="1260" spans="9:17" x14ac:dyDescent="0.3">
      <c r="I1260"/>
      <c r="J1260"/>
      <c r="K1260"/>
      <c r="L1260"/>
      <c r="M1260"/>
      <c r="N1260"/>
      <c r="O1260"/>
      <c r="P1260"/>
      <c r="Q1260"/>
    </row>
    <row r="1261" spans="9:17" x14ac:dyDescent="0.3">
      <c r="I1261"/>
      <c r="J1261"/>
      <c r="K1261"/>
      <c r="L1261"/>
      <c r="M1261"/>
      <c r="N1261"/>
      <c r="O1261"/>
      <c r="P1261"/>
      <c r="Q1261"/>
    </row>
    <row r="1262" spans="9:17" x14ac:dyDescent="0.3">
      <c r="I1262"/>
      <c r="J1262"/>
      <c r="K1262"/>
      <c r="L1262"/>
      <c r="M1262"/>
      <c r="N1262"/>
      <c r="O1262"/>
      <c r="P1262"/>
      <c r="Q1262"/>
    </row>
    <row r="1263" spans="9:17" x14ac:dyDescent="0.3">
      <c r="I1263"/>
      <c r="J1263"/>
      <c r="K1263"/>
      <c r="L1263"/>
      <c r="M1263"/>
      <c r="N1263"/>
      <c r="O1263"/>
      <c r="P1263"/>
      <c r="Q1263"/>
    </row>
    <row r="1264" spans="9:17" x14ac:dyDescent="0.3">
      <c r="I1264"/>
      <c r="J1264"/>
      <c r="K1264"/>
      <c r="L1264"/>
      <c r="M1264"/>
      <c r="N1264"/>
      <c r="O1264"/>
      <c r="P1264"/>
      <c r="Q1264"/>
    </row>
    <row r="1265" spans="9:17" x14ac:dyDescent="0.3">
      <c r="I1265"/>
      <c r="J1265"/>
      <c r="K1265"/>
      <c r="L1265"/>
      <c r="M1265"/>
      <c r="N1265"/>
      <c r="O1265"/>
      <c r="P1265"/>
      <c r="Q1265"/>
    </row>
    <row r="1266" spans="9:17" x14ac:dyDescent="0.3">
      <c r="I1266"/>
      <c r="J1266"/>
      <c r="K1266"/>
      <c r="L1266"/>
      <c r="M1266"/>
      <c r="N1266"/>
      <c r="O1266"/>
      <c r="P1266"/>
      <c r="Q1266"/>
    </row>
    <row r="1267" spans="9:17" x14ac:dyDescent="0.3">
      <c r="I1267"/>
      <c r="J1267"/>
      <c r="K1267"/>
      <c r="L1267"/>
      <c r="M1267"/>
      <c r="N1267"/>
      <c r="O1267"/>
      <c r="P1267"/>
      <c r="Q1267"/>
    </row>
    <row r="1268" spans="9:17" x14ac:dyDescent="0.3">
      <c r="I1268"/>
      <c r="J1268"/>
      <c r="K1268"/>
      <c r="L1268"/>
      <c r="M1268"/>
      <c r="N1268"/>
      <c r="O1268"/>
      <c r="P1268"/>
      <c r="Q1268"/>
    </row>
    <row r="1269" spans="9:17" x14ac:dyDescent="0.3">
      <c r="I1269"/>
      <c r="J1269"/>
      <c r="K1269"/>
      <c r="L1269"/>
      <c r="M1269"/>
      <c r="N1269"/>
      <c r="O1269"/>
      <c r="P1269"/>
      <c r="Q1269"/>
    </row>
    <row r="1270" spans="9:17" x14ac:dyDescent="0.3">
      <c r="I1270"/>
      <c r="J1270"/>
      <c r="K1270"/>
      <c r="L1270"/>
      <c r="M1270"/>
      <c r="N1270"/>
      <c r="O1270"/>
      <c r="P1270"/>
      <c r="Q1270"/>
    </row>
    <row r="1271" spans="9:17" x14ac:dyDescent="0.3">
      <c r="I1271"/>
      <c r="J1271"/>
      <c r="K1271"/>
      <c r="L1271"/>
      <c r="M1271"/>
      <c r="N1271"/>
      <c r="O1271"/>
      <c r="P1271"/>
      <c r="Q1271"/>
    </row>
    <row r="1272" spans="9:17" x14ac:dyDescent="0.3">
      <c r="I1272"/>
      <c r="J1272"/>
      <c r="K1272"/>
      <c r="L1272"/>
      <c r="M1272"/>
      <c r="N1272"/>
      <c r="O1272"/>
      <c r="P1272"/>
      <c r="Q1272"/>
    </row>
    <row r="1273" spans="9:17" x14ac:dyDescent="0.3">
      <c r="I1273"/>
      <c r="J1273"/>
      <c r="K1273"/>
      <c r="L1273"/>
      <c r="M1273"/>
      <c r="N1273"/>
      <c r="O1273"/>
      <c r="P1273"/>
      <c r="Q1273"/>
    </row>
    <row r="1274" spans="9:17" x14ac:dyDescent="0.3">
      <c r="I1274"/>
      <c r="J1274"/>
      <c r="K1274"/>
      <c r="L1274"/>
      <c r="M1274"/>
      <c r="N1274"/>
      <c r="O1274"/>
      <c r="P1274"/>
      <c r="Q1274"/>
    </row>
    <row r="1275" spans="9:17" x14ac:dyDescent="0.3">
      <c r="I1275"/>
      <c r="J1275"/>
      <c r="K1275"/>
      <c r="L1275"/>
      <c r="M1275"/>
      <c r="N1275"/>
      <c r="O1275"/>
      <c r="P1275"/>
      <c r="Q1275"/>
    </row>
    <row r="1276" spans="9:17" x14ac:dyDescent="0.3">
      <c r="I1276"/>
      <c r="J1276"/>
      <c r="K1276"/>
      <c r="L1276"/>
      <c r="M1276"/>
      <c r="N1276"/>
      <c r="O1276"/>
      <c r="P1276"/>
      <c r="Q1276"/>
    </row>
    <row r="1277" spans="9:17" x14ac:dyDescent="0.3">
      <c r="I1277"/>
      <c r="J1277"/>
      <c r="K1277"/>
      <c r="L1277"/>
      <c r="M1277"/>
      <c r="N1277"/>
      <c r="O1277"/>
      <c r="P1277"/>
      <c r="Q1277"/>
    </row>
    <row r="1278" spans="9:17" x14ac:dyDescent="0.3">
      <c r="I1278"/>
      <c r="J1278"/>
      <c r="K1278"/>
      <c r="L1278"/>
      <c r="M1278"/>
      <c r="N1278"/>
      <c r="O1278"/>
      <c r="P1278"/>
      <c r="Q1278"/>
    </row>
    <row r="1279" spans="9:17" x14ac:dyDescent="0.3">
      <c r="I1279"/>
      <c r="J1279"/>
      <c r="K1279"/>
      <c r="L1279"/>
      <c r="M1279"/>
      <c r="N1279"/>
      <c r="O1279"/>
      <c r="P1279"/>
      <c r="Q1279"/>
    </row>
    <row r="1280" spans="9:17" x14ac:dyDescent="0.3">
      <c r="I1280"/>
      <c r="J1280"/>
      <c r="K1280"/>
      <c r="L1280"/>
      <c r="M1280"/>
      <c r="N1280"/>
      <c r="O1280"/>
      <c r="P1280"/>
      <c r="Q1280"/>
    </row>
    <row r="1281" spans="9:17" x14ac:dyDescent="0.3">
      <c r="I1281"/>
      <c r="J1281"/>
      <c r="K1281"/>
      <c r="L1281"/>
      <c r="M1281"/>
      <c r="N1281"/>
      <c r="O1281"/>
      <c r="P1281"/>
      <c r="Q1281"/>
    </row>
    <row r="1282" spans="9:17" x14ac:dyDescent="0.3">
      <c r="I1282"/>
      <c r="J1282"/>
      <c r="K1282"/>
      <c r="L1282"/>
      <c r="M1282"/>
      <c r="N1282"/>
      <c r="O1282"/>
      <c r="P1282"/>
      <c r="Q1282"/>
    </row>
    <row r="1283" spans="9:17" x14ac:dyDescent="0.3">
      <c r="I1283"/>
      <c r="J1283"/>
      <c r="K1283"/>
      <c r="L1283"/>
      <c r="M1283"/>
      <c r="N1283"/>
      <c r="O1283"/>
      <c r="P1283"/>
      <c r="Q1283"/>
    </row>
    <row r="1284" spans="9:17" x14ac:dyDescent="0.3">
      <c r="I1284"/>
      <c r="J1284"/>
      <c r="K1284"/>
      <c r="L1284"/>
      <c r="M1284"/>
      <c r="N1284"/>
      <c r="O1284"/>
      <c r="P1284"/>
      <c r="Q1284"/>
    </row>
    <row r="1285" spans="9:17" x14ac:dyDescent="0.3">
      <c r="I1285"/>
      <c r="J1285"/>
      <c r="K1285"/>
      <c r="L1285"/>
      <c r="M1285"/>
      <c r="N1285"/>
      <c r="O1285"/>
      <c r="P1285"/>
      <c r="Q1285"/>
    </row>
    <row r="1286" spans="9:17" x14ac:dyDescent="0.3">
      <c r="I1286"/>
      <c r="J1286"/>
      <c r="K1286"/>
      <c r="L1286"/>
      <c r="M1286"/>
      <c r="N1286"/>
      <c r="O1286"/>
      <c r="P1286"/>
      <c r="Q1286"/>
    </row>
    <row r="1287" spans="9:17" x14ac:dyDescent="0.3">
      <c r="I1287"/>
      <c r="J1287"/>
      <c r="K1287"/>
      <c r="L1287"/>
      <c r="M1287"/>
      <c r="N1287"/>
      <c r="O1287"/>
      <c r="P1287"/>
      <c r="Q1287"/>
    </row>
    <row r="1288" spans="9:17" x14ac:dyDescent="0.3">
      <c r="I1288"/>
      <c r="J1288"/>
      <c r="K1288"/>
      <c r="L1288"/>
      <c r="M1288"/>
      <c r="N1288"/>
      <c r="O1288"/>
      <c r="P1288"/>
      <c r="Q1288"/>
    </row>
    <row r="1289" spans="9:17" x14ac:dyDescent="0.3">
      <c r="I1289"/>
      <c r="J1289"/>
      <c r="K1289"/>
      <c r="L1289"/>
      <c r="M1289"/>
      <c r="N1289"/>
      <c r="O1289"/>
      <c r="P1289"/>
      <c r="Q1289"/>
    </row>
    <row r="1290" spans="9:17" x14ac:dyDescent="0.3">
      <c r="I1290"/>
      <c r="J1290"/>
      <c r="K1290"/>
      <c r="L1290"/>
      <c r="M1290"/>
      <c r="N1290"/>
      <c r="O1290"/>
      <c r="P1290"/>
      <c r="Q1290"/>
    </row>
    <row r="1291" spans="9:17" x14ac:dyDescent="0.3">
      <c r="I1291"/>
      <c r="J1291"/>
      <c r="K1291"/>
      <c r="L1291"/>
      <c r="M1291"/>
      <c r="N1291"/>
      <c r="O1291"/>
      <c r="P1291"/>
      <c r="Q1291"/>
    </row>
    <row r="1292" spans="9:17" x14ac:dyDescent="0.3">
      <c r="I1292"/>
      <c r="J1292"/>
      <c r="K1292"/>
      <c r="L1292"/>
      <c r="M1292"/>
      <c r="N1292"/>
      <c r="O1292"/>
      <c r="P1292"/>
      <c r="Q1292"/>
    </row>
    <row r="1293" spans="9:17" x14ac:dyDescent="0.3">
      <c r="I1293"/>
      <c r="J1293"/>
      <c r="K1293"/>
      <c r="L1293"/>
      <c r="M1293"/>
      <c r="N1293"/>
      <c r="O1293"/>
      <c r="P1293"/>
      <c r="Q1293"/>
    </row>
    <row r="1294" spans="9:17" x14ac:dyDescent="0.3">
      <c r="I1294"/>
      <c r="J1294"/>
      <c r="K1294"/>
      <c r="L1294"/>
      <c r="M1294"/>
      <c r="N1294"/>
      <c r="O1294"/>
      <c r="P1294"/>
      <c r="Q1294"/>
    </row>
    <row r="1295" spans="9:17" x14ac:dyDescent="0.3">
      <c r="I1295"/>
      <c r="J1295"/>
      <c r="K1295"/>
      <c r="L1295"/>
      <c r="M1295"/>
      <c r="N1295"/>
      <c r="O1295"/>
      <c r="P1295"/>
      <c r="Q1295"/>
    </row>
    <row r="1296" spans="9:17" x14ac:dyDescent="0.3">
      <c r="I1296"/>
      <c r="J1296"/>
      <c r="K1296"/>
      <c r="L1296"/>
      <c r="M1296"/>
      <c r="N1296"/>
      <c r="O1296"/>
      <c r="P1296"/>
      <c r="Q1296"/>
    </row>
    <row r="1297" spans="9:17" x14ac:dyDescent="0.3">
      <c r="I1297"/>
      <c r="J1297"/>
      <c r="K1297"/>
      <c r="L1297"/>
      <c r="M1297"/>
      <c r="N1297"/>
      <c r="O1297"/>
      <c r="P1297"/>
      <c r="Q1297"/>
    </row>
    <row r="1298" spans="9:17" x14ac:dyDescent="0.3">
      <c r="I1298"/>
      <c r="J1298"/>
      <c r="K1298"/>
      <c r="L1298"/>
      <c r="M1298"/>
      <c r="N1298"/>
      <c r="O1298"/>
      <c r="P1298"/>
      <c r="Q1298"/>
    </row>
    <row r="1299" spans="9:17" x14ac:dyDescent="0.3">
      <c r="I1299"/>
      <c r="J1299"/>
      <c r="K1299"/>
      <c r="L1299"/>
      <c r="M1299"/>
      <c r="N1299"/>
      <c r="O1299"/>
      <c r="P1299"/>
      <c r="Q1299"/>
    </row>
    <row r="1300" spans="9:17" x14ac:dyDescent="0.3">
      <c r="I1300"/>
      <c r="J1300"/>
      <c r="K1300"/>
      <c r="L1300"/>
      <c r="M1300"/>
      <c r="N1300"/>
      <c r="O1300"/>
      <c r="P1300"/>
      <c r="Q1300"/>
    </row>
    <row r="1301" spans="9:17" x14ac:dyDescent="0.3">
      <c r="I1301"/>
      <c r="J1301"/>
      <c r="K1301"/>
      <c r="L1301"/>
      <c r="M1301"/>
      <c r="N1301"/>
      <c r="O1301"/>
      <c r="P1301"/>
      <c r="Q1301"/>
    </row>
    <row r="1302" spans="9:17" x14ac:dyDescent="0.3">
      <c r="I1302"/>
      <c r="J1302"/>
      <c r="K1302"/>
      <c r="L1302"/>
      <c r="M1302"/>
      <c r="N1302"/>
      <c r="O1302"/>
      <c r="P1302"/>
      <c r="Q1302"/>
    </row>
    <row r="1303" spans="9:17" x14ac:dyDescent="0.3">
      <c r="I1303"/>
      <c r="J1303"/>
      <c r="K1303"/>
      <c r="L1303"/>
      <c r="M1303"/>
      <c r="N1303"/>
      <c r="O1303"/>
      <c r="P1303"/>
      <c r="Q1303"/>
    </row>
    <row r="1304" spans="9:17" x14ac:dyDescent="0.3">
      <c r="I1304"/>
      <c r="J1304"/>
      <c r="K1304"/>
      <c r="L1304"/>
      <c r="M1304"/>
      <c r="N1304"/>
      <c r="O1304"/>
      <c r="P1304"/>
      <c r="Q1304"/>
    </row>
    <row r="1305" spans="9:17" x14ac:dyDescent="0.3">
      <c r="I1305"/>
      <c r="J1305"/>
      <c r="K1305"/>
      <c r="L1305"/>
      <c r="M1305"/>
      <c r="N1305"/>
      <c r="O1305"/>
      <c r="P1305"/>
      <c r="Q1305"/>
    </row>
    <row r="1306" spans="9:17" x14ac:dyDescent="0.3">
      <c r="I1306"/>
      <c r="J1306"/>
      <c r="K1306"/>
      <c r="L1306"/>
      <c r="M1306"/>
      <c r="N1306"/>
      <c r="O1306"/>
      <c r="P1306"/>
      <c r="Q1306"/>
    </row>
    <row r="1307" spans="9:17" x14ac:dyDescent="0.3">
      <c r="I1307"/>
      <c r="J1307"/>
      <c r="K1307"/>
      <c r="L1307"/>
      <c r="M1307"/>
      <c r="N1307"/>
      <c r="O1307"/>
      <c r="P1307"/>
      <c r="Q1307"/>
    </row>
    <row r="1308" spans="9:17" x14ac:dyDescent="0.3">
      <c r="I1308"/>
      <c r="J1308"/>
      <c r="K1308"/>
      <c r="L1308"/>
      <c r="M1308"/>
      <c r="N1308"/>
      <c r="O1308"/>
      <c r="P1308"/>
      <c r="Q1308"/>
    </row>
    <row r="1309" spans="9:17" x14ac:dyDescent="0.3">
      <c r="I1309"/>
      <c r="J1309"/>
      <c r="K1309"/>
      <c r="L1309"/>
      <c r="M1309"/>
      <c r="N1309"/>
      <c r="O1309"/>
      <c r="P1309"/>
      <c r="Q1309"/>
    </row>
    <row r="1310" spans="9:17" x14ac:dyDescent="0.3">
      <c r="I1310"/>
      <c r="J1310"/>
      <c r="K1310"/>
      <c r="L1310"/>
      <c r="M1310"/>
      <c r="N1310"/>
      <c r="O1310"/>
      <c r="P1310"/>
      <c r="Q1310"/>
    </row>
    <row r="1311" spans="9:17" x14ac:dyDescent="0.3">
      <c r="I1311"/>
      <c r="J1311"/>
      <c r="K1311"/>
      <c r="L1311"/>
      <c r="M1311"/>
      <c r="N1311"/>
      <c r="O1311"/>
      <c r="P1311"/>
      <c r="Q1311"/>
    </row>
    <row r="1312" spans="9:17" x14ac:dyDescent="0.3">
      <c r="I1312"/>
      <c r="J1312"/>
      <c r="K1312"/>
      <c r="L1312"/>
      <c r="M1312"/>
      <c r="N1312"/>
      <c r="O1312"/>
      <c r="P1312"/>
      <c r="Q1312"/>
    </row>
    <row r="1313" spans="9:17" x14ac:dyDescent="0.3">
      <c r="I1313"/>
      <c r="J1313"/>
      <c r="K1313"/>
      <c r="L1313"/>
      <c r="M1313"/>
      <c r="N1313"/>
      <c r="O1313"/>
      <c r="P1313"/>
      <c r="Q1313"/>
    </row>
    <row r="1314" spans="9:17" x14ac:dyDescent="0.3">
      <c r="I1314"/>
      <c r="J1314"/>
      <c r="K1314"/>
      <c r="L1314"/>
      <c r="M1314"/>
      <c r="N1314"/>
      <c r="O1314"/>
      <c r="P1314"/>
      <c r="Q1314"/>
    </row>
    <row r="1315" spans="9:17" x14ac:dyDescent="0.3">
      <c r="I1315"/>
      <c r="J1315"/>
      <c r="K1315"/>
      <c r="L1315"/>
      <c r="M1315"/>
      <c r="N1315"/>
      <c r="O1315"/>
      <c r="P1315"/>
      <c r="Q1315"/>
    </row>
    <row r="1316" spans="9:17" x14ac:dyDescent="0.3">
      <c r="I1316"/>
      <c r="J1316"/>
      <c r="K1316"/>
      <c r="L1316"/>
      <c r="M1316"/>
      <c r="N1316"/>
      <c r="O1316"/>
      <c r="P1316"/>
      <c r="Q1316"/>
    </row>
    <row r="1317" spans="9:17" x14ac:dyDescent="0.3">
      <c r="I1317"/>
      <c r="J1317"/>
      <c r="K1317"/>
      <c r="L1317"/>
      <c r="M1317"/>
      <c r="N1317"/>
      <c r="O1317"/>
      <c r="P1317"/>
      <c r="Q1317"/>
    </row>
    <row r="1318" spans="9:17" x14ac:dyDescent="0.3">
      <c r="I1318"/>
      <c r="J1318"/>
      <c r="K1318"/>
      <c r="L1318"/>
      <c r="M1318"/>
      <c r="N1318"/>
      <c r="O1318"/>
      <c r="P1318"/>
      <c r="Q1318"/>
    </row>
    <row r="1319" spans="9:17" x14ac:dyDescent="0.3">
      <c r="I1319"/>
      <c r="J1319"/>
      <c r="K1319"/>
      <c r="L1319"/>
      <c r="M1319"/>
      <c r="N1319"/>
      <c r="O1319"/>
      <c r="P1319"/>
      <c r="Q1319"/>
    </row>
    <row r="1320" spans="9:17" x14ac:dyDescent="0.3">
      <c r="I1320"/>
      <c r="J1320"/>
      <c r="K1320"/>
      <c r="L1320"/>
      <c r="M1320"/>
      <c r="N1320"/>
      <c r="O1320"/>
      <c r="P1320"/>
      <c r="Q1320"/>
    </row>
    <row r="1321" spans="9:17" x14ac:dyDescent="0.3">
      <c r="I1321"/>
      <c r="J1321"/>
      <c r="K1321"/>
      <c r="L1321"/>
      <c r="M1321"/>
      <c r="N1321"/>
      <c r="O1321"/>
      <c r="P1321"/>
      <c r="Q1321"/>
    </row>
    <row r="1322" spans="9:17" x14ac:dyDescent="0.3">
      <c r="I1322"/>
      <c r="J1322"/>
      <c r="K1322"/>
      <c r="L1322"/>
      <c r="M1322"/>
      <c r="N1322"/>
      <c r="O1322"/>
      <c r="P1322"/>
      <c r="Q1322"/>
    </row>
    <row r="1323" spans="9:17" x14ac:dyDescent="0.3">
      <c r="I1323"/>
      <c r="J1323"/>
      <c r="K1323"/>
      <c r="L1323"/>
      <c r="M1323"/>
      <c r="N1323"/>
      <c r="O1323"/>
      <c r="P1323"/>
      <c r="Q1323"/>
    </row>
    <row r="1324" spans="9:17" x14ac:dyDescent="0.3">
      <c r="I1324"/>
      <c r="J1324"/>
      <c r="K1324"/>
      <c r="L1324"/>
      <c r="M1324"/>
      <c r="N1324"/>
      <c r="O1324"/>
      <c r="P1324"/>
      <c r="Q1324"/>
    </row>
    <row r="1325" spans="9:17" x14ac:dyDescent="0.3">
      <c r="I1325"/>
      <c r="J1325"/>
      <c r="K1325"/>
      <c r="L1325"/>
      <c r="M1325"/>
      <c r="N1325"/>
      <c r="O1325"/>
      <c r="P1325"/>
      <c r="Q1325"/>
    </row>
    <row r="1326" spans="9:17" x14ac:dyDescent="0.3">
      <c r="I1326"/>
      <c r="J1326"/>
      <c r="K1326"/>
      <c r="L1326"/>
      <c r="M1326"/>
      <c r="N1326"/>
      <c r="O1326"/>
      <c r="P1326"/>
      <c r="Q1326"/>
    </row>
    <row r="1327" spans="9:17" x14ac:dyDescent="0.3">
      <c r="I1327"/>
      <c r="J1327"/>
      <c r="K1327"/>
      <c r="L1327"/>
      <c r="M1327"/>
      <c r="N1327"/>
      <c r="O1327"/>
      <c r="P1327"/>
      <c r="Q1327"/>
    </row>
    <row r="1328" spans="9:17" x14ac:dyDescent="0.3">
      <c r="I1328"/>
      <c r="J1328"/>
      <c r="K1328"/>
      <c r="L1328"/>
      <c r="M1328"/>
      <c r="N1328"/>
      <c r="O1328"/>
      <c r="P1328"/>
      <c r="Q1328"/>
    </row>
    <row r="1329" spans="9:17" x14ac:dyDescent="0.3">
      <c r="I1329"/>
      <c r="J1329"/>
      <c r="K1329"/>
      <c r="L1329"/>
      <c r="M1329"/>
      <c r="N1329"/>
      <c r="O1329"/>
      <c r="P1329"/>
      <c r="Q1329"/>
    </row>
    <row r="1330" spans="9:17" x14ac:dyDescent="0.3">
      <c r="I1330"/>
      <c r="J1330"/>
      <c r="K1330"/>
      <c r="L1330"/>
      <c r="M1330"/>
      <c r="N1330"/>
      <c r="O1330"/>
      <c r="P1330"/>
      <c r="Q1330"/>
    </row>
    <row r="1331" spans="9:17" x14ac:dyDescent="0.3">
      <c r="I1331"/>
      <c r="J1331"/>
      <c r="K1331"/>
      <c r="L1331"/>
      <c r="M1331"/>
      <c r="N1331"/>
      <c r="O1331"/>
      <c r="P1331"/>
      <c r="Q1331"/>
    </row>
    <row r="1332" spans="9:17" x14ac:dyDescent="0.3">
      <c r="I1332"/>
      <c r="J1332"/>
      <c r="K1332"/>
      <c r="L1332"/>
      <c r="M1332"/>
      <c r="N1332"/>
      <c r="O1332"/>
      <c r="P1332"/>
      <c r="Q1332"/>
    </row>
    <row r="1333" spans="9:17" x14ac:dyDescent="0.3">
      <c r="I1333"/>
      <c r="J1333"/>
      <c r="K1333"/>
      <c r="L1333"/>
      <c r="M1333"/>
      <c r="N1333"/>
      <c r="O1333"/>
      <c r="P1333"/>
      <c r="Q1333"/>
    </row>
    <row r="1334" spans="9:17" x14ac:dyDescent="0.3">
      <c r="I1334"/>
      <c r="J1334"/>
      <c r="K1334"/>
      <c r="L1334"/>
      <c r="M1334"/>
      <c r="N1334"/>
      <c r="O1334"/>
      <c r="P1334"/>
      <c r="Q1334"/>
    </row>
    <row r="1335" spans="9:17" x14ac:dyDescent="0.3">
      <c r="I1335"/>
      <c r="J1335"/>
      <c r="K1335"/>
      <c r="L1335"/>
      <c r="M1335"/>
      <c r="N1335"/>
      <c r="O1335"/>
      <c r="P1335"/>
      <c r="Q1335"/>
    </row>
    <row r="1336" spans="9:17" x14ac:dyDescent="0.3">
      <c r="I1336"/>
      <c r="J1336"/>
      <c r="K1336"/>
      <c r="L1336"/>
      <c r="M1336"/>
      <c r="N1336"/>
      <c r="O1336"/>
      <c r="P1336"/>
      <c r="Q1336"/>
    </row>
    <row r="1337" spans="9:17" x14ac:dyDescent="0.3">
      <c r="I1337"/>
      <c r="J1337"/>
      <c r="K1337"/>
      <c r="L1337"/>
      <c r="M1337"/>
      <c r="N1337"/>
      <c r="O1337"/>
      <c r="P1337"/>
      <c r="Q1337"/>
    </row>
    <row r="1338" spans="9:17" x14ac:dyDescent="0.3">
      <c r="I1338"/>
      <c r="J1338"/>
      <c r="K1338"/>
      <c r="L1338"/>
      <c r="M1338"/>
      <c r="N1338"/>
      <c r="O1338"/>
      <c r="P1338"/>
      <c r="Q1338"/>
    </row>
    <row r="1339" spans="9:17" x14ac:dyDescent="0.3">
      <c r="I1339"/>
      <c r="J1339"/>
      <c r="K1339"/>
      <c r="L1339"/>
      <c r="M1339"/>
      <c r="N1339"/>
      <c r="O1339"/>
      <c r="P1339"/>
      <c r="Q1339"/>
    </row>
    <row r="1340" spans="9:17" x14ac:dyDescent="0.3">
      <c r="I1340"/>
      <c r="J1340"/>
      <c r="K1340"/>
      <c r="L1340"/>
      <c r="M1340"/>
      <c r="N1340"/>
      <c r="O1340"/>
      <c r="P1340"/>
      <c r="Q1340"/>
    </row>
    <row r="1341" spans="9:17" x14ac:dyDescent="0.3">
      <c r="I1341"/>
      <c r="J1341"/>
      <c r="K1341"/>
      <c r="L1341"/>
      <c r="M1341"/>
      <c r="N1341"/>
      <c r="O1341"/>
      <c r="P1341"/>
      <c r="Q1341"/>
    </row>
    <row r="1342" spans="9:17" x14ac:dyDescent="0.3">
      <c r="I1342"/>
      <c r="J1342"/>
      <c r="K1342"/>
      <c r="L1342"/>
      <c r="M1342"/>
      <c r="N1342"/>
      <c r="O1342"/>
      <c r="P1342"/>
      <c r="Q1342"/>
    </row>
    <row r="1343" spans="9:17" x14ac:dyDescent="0.3">
      <c r="I1343"/>
      <c r="J1343"/>
      <c r="K1343"/>
      <c r="L1343"/>
      <c r="M1343"/>
      <c r="N1343"/>
      <c r="O1343"/>
      <c r="P1343"/>
      <c r="Q1343"/>
    </row>
    <row r="1344" spans="9:17" x14ac:dyDescent="0.3">
      <c r="I1344"/>
      <c r="J1344"/>
      <c r="K1344"/>
      <c r="L1344"/>
      <c r="M1344"/>
      <c r="N1344"/>
      <c r="O1344"/>
      <c r="P1344"/>
      <c r="Q1344"/>
    </row>
    <row r="1345" spans="9:17" x14ac:dyDescent="0.3">
      <c r="I1345"/>
      <c r="J1345"/>
      <c r="K1345"/>
      <c r="L1345"/>
      <c r="M1345"/>
      <c r="N1345"/>
      <c r="O1345"/>
      <c r="P1345"/>
      <c r="Q1345"/>
    </row>
    <row r="1346" spans="9:17" x14ac:dyDescent="0.3">
      <c r="I1346"/>
      <c r="J1346"/>
      <c r="K1346"/>
      <c r="L1346"/>
      <c r="M1346"/>
      <c r="N1346"/>
      <c r="O1346"/>
      <c r="P1346"/>
      <c r="Q1346"/>
    </row>
    <row r="1347" spans="9:17" x14ac:dyDescent="0.3">
      <c r="I1347"/>
      <c r="J1347"/>
      <c r="K1347"/>
      <c r="L1347"/>
      <c r="M1347"/>
      <c r="N1347"/>
      <c r="O1347"/>
      <c r="P1347"/>
      <c r="Q1347"/>
    </row>
  </sheetData>
  <mergeCells count="5">
    <mergeCell ref="I2:U2"/>
    <mergeCell ref="A9:C9"/>
    <mergeCell ref="A21:C21"/>
    <mergeCell ref="E9:G9"/>
    <mergeCell ref="E19:G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60507F-7DE3-4DF6-9BF1-06BD586F81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E-commerce order data</vt:lpstr>
      <vt:lpstr>Data Quality Log</vt:lpstr>
      <vt:lpstr>Cleaned Data</vt:lpstr>
      <vt:lpstr>EDA</vt:lpstr>
      <vt:lpstr>'Cleaned Data'!Extract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Chimezie El-salem Udochukwu_20201206195</cp:lastModifiedBy>
  <dcterms:created xsi:type="dcterms:W3CDTF">2025-06-21T13:19:12Z</dcterms:created>
  <dcterms:modified xsi:type="dcterms:W3CDTF">2026-06-09T22:33:37Z</dcterms:modified>
</cp:coreProperties>
</file>